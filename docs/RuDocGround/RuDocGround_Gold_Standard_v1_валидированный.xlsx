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4014c2065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dfb40c1c974286"/>
    <x:sheet xmlns:r="http://schemas.openxmlformats.org/officeDocument/2006/relationships" name="Gold_A" sheetId="2" r:id="R9634ea0e83804540"/>
    <x:sheet xmlns:r="http://schemas.openxmlformats.org/officeDocument/2006/relationships" name="Gold_B" sheetId="3" r:id="Rdeae903bd0d24f7b"/>
    <x:sheet xmlns:r="http://schemas.openxmlformats.org/officeDocument/2006/relationships" name="A↔B Map" sheetId="4" r:id="Rc7933680b24346ec"/>
    <x:sheet xmlns:r="http://schemas.openxmlformats.org/officeDocument/2006/relationships" name="Evidence Registry" sheetId="5" r:id="Rb7920fbe935f45f9"/>
    <x:sheet xmlns:r="http://schemas.openxmlformats.org/officeDocument/2006/relationships" name="Normalization" sheetId="6" r:id="R67e81ef793984f26"/>
    <x:sheet xmlns:r="http://schemas.openxmlformats.org/officeDocument/2006/relationships" name="QA Findings" sheetId="7" r:id="R5afd3c5ae1c84c13"/>
    <x:sheet xmlns:r="http://schemas.openxmlformats.org/officeDocument/2006/relationships" name="Calculation Check" sheetId="8" r:id="R82aa7c95373d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0"/>
      <x:name val="Arial"/>
    </x:font>
    <x:font>
      <x:b/>
      <x:sz val="10"/>
      <x:color rgb="FF274E1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9C0006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38761D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top"/>
    </x:xf>
    <x:xf numFmtId="0" fontId="5" fillId="3" borderId="1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201" fontId="6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201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201" fontId="6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201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201" fontId="6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1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11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65f7a56c04f8f" /><Relationship Type="http://schemas.openxmlformats.org/officeDocument/2006/relationships/theme" Target="/xl/theme/theme1.xml" Id="R1ce148ab47954a52" /><Relationship Type="http://schemas.microsoft.com/office/2022/11/relationships/FeaturePropertyBag" Target="/xl/featurePropertyBag/featurePropertyBag.xml" Id="R04fae6324079462f" /><Relationship Type="http://schemas.openxmlformats.org/officeDocument/2006/relationships/sharedStrings" Target="/xl/sharedStrings.xml" Id="R5a26bf276c614227" /><Relationship Type="http://schemas.openxmlformats.org/officeDocument/2006/relationships/worksheet" Target="/xl/worksheets/sheet1.xml" Id="R66dfb40c1c974286" /><Relationship Type="http://schemas.openxmlformats.org/officeDocument/2006/relationships/worksheet" Target="/xl/worksheets/sheet2.xml" Id="R9634ea0e83804540" /><Relationship Type="http://schemas.openxmlformats.org/officeDocument/2006/relationships/worksheet" Target="/xl/worksheets/sheet3.xml" Id="Rdeae903bd0d24f7b" /><Relationship Type="http://schemas.openxmlformats.org/officeDocument/2006/relationships/worksheet" Target="/xl/worksheets/sheet4.xml" Id="Rc7933680b24346ec" /><Relationship Type="http://schemas.openxmlformats.org/officeDocument/2006/relationships/worksheet" Target="/xl/worksheets/sheet5.xml" Id="Rb7920fbe935f45f9" /><Relationship Type="http://schemas.openxmlformats.org/officeDocument/2006/relationships/worksheet" Target="/xl/worksheets/sheet6.xml" Id="R67e81ef793984f26" /><Relationship Type="http://schemas.openxmlformats.org/officeDocument/2006/relationships/worksheet" Target="/xl/worksheets/sheet7.xml" Id="R5afd3c5ae1c84c13" /><Relationship Type="http://schemas.openxmlformats.org/officeDocument/2006/relationships/worksheet" Target="/xl/worksheets/sheet8.xml" Id="R82aa7c95373d4d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28" hidden="0" customWidth="1"/>
    <x:col min="4" max="4" width="38" hidden="0" customWidth="1"/>
  </x:cols>
  <x:sheetData>
    <x:row r="1" ht="30" customHeight="1">
      <x:c r="A1" s="64" t="str">
        <x:v>RuDocGround-CF — Gold Standard v1</x:v>
      </x:c>
      <x:c r="B1" s="64"/>
      <x:c r="C1" s="64"/>
      <x:c r="D1" s="64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 ht="30" customHeight="1">
      <x:c r="A2" s="66" t="str">
        <x:v>Статус</x:v>
      </x:c>
      <x:c r="B2" s="107" t="str">
        <x:v>VALIDATED — блокирующие несоответствия исправлены</x:v>
      </x:c>
      <x:c r="C2" s="66" t="str">
        <x:v>Дата</x:v>
      </x:c>
      <x:c r="D2" s="68" t="n">
        <x:v>46189</x:v>
      </x:c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 ht="30" customHeight="1">
      <x:c r="A3" s="66" t="str">
        <x:v>Кейс</x:v>
      </x:c>
      <x:c r="B3" s="67" t="str">
        <x:v>trip_001 — служебная командировка Москва–Казань</x:v>
      </x:c>
      <x:c r="C3" s="66" t="str">
        <x:v>Варианты</x:v>
      </x:c>
      <x:c r="D3" s="67" t="str">
        <x:v>A / B</x:v>
      </x:c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</x:row>
    <x:row r="4" ht="30" customHeight="1">
      <x:c r="A4" s="66" t="str">
        <x:v>Вопросов на вариант</x:v>
      </x:c>
      <x:c r="B4" s="67" t="n">
        <x:v>17</x:v>
      </x:c>
      <x:c r="C4" s="66" t="str">
        <x:v>Всего gold records</x:v>
      </x:c>
      <x:c r="D4" s="67" t="n">
        <x:v>34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30" customHeight="1">
      <x:c r="A5" s="66" t="str">
        <x:v>Главное различие</x:v>
      </x:c>
      <x:c r="B5" s="67" t="str">
        <x:v>В приказе A временный лимит действует до 20.09; в B — до 18.09.</x:v>
      </x:c>
      <x:c r="C5" s="66"/>
      <x:c r="D5" s="67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</x:row>
    <x:row r="6" ht="30" customHeight="1">
      <x:c r="A6" s="66" t="str">
        <x:v>Ожидаемые flip-вопросы</x:v>
      </x:c>
      <x:c r="B6" s="67" t="str">
        <x:v>Q6 и Q7</x:v>
      </x:c>
      <x:c r="C6" s="66" t="str">
        <x:v>Ожидаемые invariant-вопросы</x:v>
      </x:c>
      <x:c r="D6" s="67" t="str">
        <x:v>Q1–Q5, Q8–Q17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</x:row>
    <x:row r="7" ht="30" customHeight="1">
      <x:c r="A7" s="66" t="str">
        <x:v>Правило evidence</x:v>
      </x:c>
      <x:c r="B7" s="67" t="str">
        <x:v>required_evidence обязателен; supporting_evidence допустим, но не заменяет обязательный источник.</x:v>
      </x:c>
      <x:c r="C7" s="67"/>
      <x:c r="D7" s="67"/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</x:row>
    <x:row r="8" ht="30" customHeight="1">
      <x:c r="A8" s="66" t="str">
        <x:v>Правило abstention</x:v>
      </x:c>
      <x:c r="B8" s="67" t="str">
        <x:v>При отсутствии обязательного сведения модель должна вернуть insufficient_information и коды missing_information.</x:v>
      </x:c>
      <x:c r="C8" s="67"/>
      <x:c r="D8" s="67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</x:row>
    <x:row r="9" ht="30" customHeight="1">
      <x:c r="A9" s="66" t="str">
        <x:v>Источник</x:v>
      </x:c>
      <x:c r="B9" s="67" t="str">
        <x:v>Файлы текущей папки RuDocGround на Google Drive; реестр URL находится на листе Evidence Registry.</x:v>
      </x:c>
      <x:c r="C9" s="67"/>
      <x:c r="D9" s="67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mergeCells>
    <x:mergeCell ref="A1:D1"/>
  </x:mergeCells>
  <x:conditionalFormatting sqref="B2:B2">
    <x:cfRule type="expression" dxfId="0" priority="1">
      <x:formula>LEFT(B2,5)="DRAFT"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56" hidden="0" customWidth="1"/>
    <x:col min="5" max="5" width="18" hidden="0" customWidth="1"/>
    <x:col min="6" max="6" width="26" hidden="0" customWidth="1"/>
    <x:col min="7" max="7" width="30" hidden="0" customWidth="1"/>
    <x:col min="8" max="8" width="52" hidden="0" customWidth="1"/>
    <x:col min="9" max="9" width="44" hidden="0" customWidth="1"/>
    <x:col min="10" max="10" width="42" hidden="0" customWidth="1"/>
    <x:col min="11" max="11" width="34" hidden="0" customWidth="1"/>
    <x:col min="12" max="12" width="26" hidden="0" customWidth="1"/>
    <x:col min="13" max="13" width="20" hidden="0" customWidth="1"/>
    <x:col min="14" max="14" width="58" hidden="0" customWidth="1"/>
    <x:col min="15" max="15" width="14" hidden="0" customWidth="1"/>
  </x:cols>
  <x:sheetData>
    <x:row r="1" ht="58" customHeight="1">
      <x:c r="A1" s="78" t="str">
        <x:v>case_id</x:v>
      </x:c>
      <x:c r="B1" s="78" t="str">
        <x:v>variant_id</x:v>
      </x:c>
      <x:c r="C1" s="78" t="str">
        <x:v>question_id</x:v>
      </x:c>
      <x:c r="D1" s="78" t="str">
        <x:v>question</x:v>
      </x:c>
      <x:c r="E1" s="78" t="str">
        <x:v>answer_type</x:v>
      </x:c>
      <x:c r="F1" s="78" t="str">
        <x:v>answer_normalized</x:v>
      </x:c>
      <x:c r="G1" s="78" t="str">
        <x:v>decision</x:v>
      </x:c>
      <x:c r="H1" s="78" t="str">
        <x:v>required_evidence</x:v>
      </x:c>
      <x:c r="I1" s="78" t="str">
        <x:v>supporting_evidence</x:v>
      </x:c>
      <x:c r="J1" s="78" t="str">
        <x:v>calculation</x:v>
      </x:c>
      <x:c r="K1" s="78" t="str">
        <x:v>missing_information</x:v>
      </x:c>
      <x:c r="L1" s="78" t="str">
        <x:v>skill</x:v>
      </x:c>
      <x:c r="M1" s="78" t="str">
        <x:v>must_change_from_other_variant</x:v>
      </x:c>
      <x:c r="N1" s="78" t="str">
        <x:v>rationale</x:v>
      </x:c>
      <x:c r="O1" s="78" t="str">
        <x:v>gold_status</x:v>
      </x:c>
    </x:row>
    <x:row r="2" ht="58" customHeight="1">
      <x:c r="A2" s="67" t="str">
        <x:v>trip_001</x:v>
      </x:c>
      <x:c r="B2" s="67" t="str">
        <x:v>A</x:v>
      </x:c>
      <x:c r="C2" s="67" t="str">
        <x:v>Q1</x:v>
      </x:c>
      <x:c r="D2" s="67" t="str">
        <x:v>Каков базовый лимит проживания для руководителя проекта в городе-миллионнике?</x:v>
      </x:c>
      <x:c r="E2" s="67" t="str">
        <x:v>money</x:v>
      </x:c>
      <x:c r="F2" s="67" t="n">
        <x:v>9000</x:v>
      </x:c>
      <x:c r="G2" s="67" t="str">
        <x:v>9000_per_night</x:v>
      </x:c>
      <x:c r="H2" s="67" t="str">
        <x:v>policy_01#appendix_1</x:v>
      </x:c>
      <x:c r="I2" s="67" t="str"/>
      <x:c r="J2" s="67" t="str"/>
      <x:c r="K2" s="67" t="str"/>
      <x:c r="L2" s="67" t="str">
        <x:v>rule_retrieval</x:v>
      </x:c>
      <x:c r="M2" s="79" t="b">
        <x:v>0</x:v>
      </x:c>
      <x:c r="N2" s="67" t="str">
        <x:v>Базовый лимит берётся из приложения 1; специальный приказ не отменяет само базовое правило.</x:v>
      </x:c>
      <x:c r="O2" s="67" t="str">
        <x:v>valid</x:v>
      </x:c>
    </x:row>
    <x:row r="3" ht="58" customHeight="1">
      <x:c r="A3" s="67" t="str">
        <x:v>trip_001</x:v>
      </x:c>
      <x:c r="B3" s="67" t="str">
        <x:v>A</x:v>
      </x:c>
      <x:c r="C3" s="67" t="str">
        <x:v>Q2</x:v>
      </x:c>
      <x:c r="D3" s="67" t="str">
        <x:v>Каков временный лимит проживания в Казани по приказу № 86-ОД?</x:v>
      </x:c>
      <x:c r="E3" s="67" t="str">
        <x:v>money</x:v>
      </x:c>
      <x:c r="F3" s="67" t="n">
        <x:v>12000</x:v>
      </x:c>
      <x:c r="G3" s="67" t="str">
        <x:v>12000_per_night</x:v>
      </x:c>
      <x:c r="H3" s="67" t="str">
        <x:v>order_86_A#1</x:v>
      </x:c>
      <x:c r="I3" s="67" t="str">
        <x:v>policy_01#1.8; policy_01#7.3-7.4</x:v>
      </x:c>
      <x:c r="J3" s="67" t="str"/>
      <x:c r="K3" s="67" t="str"/>
      <x:c r="L3" s="67" t="str">
        <x:v>authority_temporal</x:v>
      </x:c>
      <x:c r="M3" s="79" t="b">
        <x:v>0</x:v>
      </x:c>
      <x:c r="N3" s="67" t="str">
        <x:v>В обеих версиях размер лимита одинаков; меняется только конечная дата периода.</x:v>
      </x:c>
      <x:c r="O3" s="67" t="str">
        <x:v>valid</x:v>
      </x:c>
    </x:row>
    <x:row r="4" ht="58" customHeight="1">
      <x:c r="A4" s="67" t="str">
        <x:v>trip_001</x:v>
      </x:c>
      <x:c r="B4" s="67" t="str">
        <x:v>A</x:v>
      </x:c>
      <x:c r="C4" s="67" t="str">
        <x:v>Q3</x:v>
      </x:c>
      <x:c r="D4" s="67" t="str">
        <x:v>При какой стоимости одной ночи требуется дополнительная проверка?</x:v>
      </x:c>
      <x:c r="E4" s="67" t="str">
        <x:v>threshold</x:v>
      </x:c>
      <x:c r="F4" s="67" t="str">
        <x:v>&gt;10000</x:v>
      </x:c>
      <x:c r="G4" s="67" t="str">
        <x:v>additional_review</x:v>
      </x:c>
      <x:c r="H4" s="67" t="str">
        <x:v>finance_memo#paragraph_1</x:v>
      </x:c>
      <x:c r="I4" s="67" t="str"/>
      <x:c r="J4" s="67" t="str"/>
      <x:c r="K4" s="67" t="str"/>
      <x:c r="L4" s="67" t="str">
        <x:v>control_threshold</x:v>
      </x:c>
      <x:c r="M4" s="79" t="b">
        <x:v>0</x:v>
      </x:c>
      <x:c r="N4" s="67" t="str">
        <x:v>Проверка начинается только при превышении 10 000 руб., а не при равенстве.</x:v>
      </x:c>
      <x:c r="O4" s="67" t="str">
        <x:v>valid</x:v>
      </x:c>
    </x:row>
    <x:row r="5" ht="58" customHeight="1">
      <x:c r="A5" s="67" t="str">
        <x:v>trip_001</x:v>
      </x:c>
      <x:c r="B5" s="67" t="str">
        <x:v>A</x:v>
      </x:c>
      <x:c r="C5" s="67" t="str">
        <x:v>Q4</x:v>
      </x:c>
      <x:c r="D5" s="67" t="str">
        <x:v>Является ли порог 10 000 руб. максимальной суммой возмещения?</x:v>
      </x:c>
      <x:c r="E5" s="67" t="str">
        <x:v>boolean</x:v>
      </x:c>
      <x:c r="F5" s="79" t="b">
        <x:v>0</x:v>
      </x:c>
      <x:c r="G5" s="67" t="str">
        <x:v>not_a_reimbursement_cap</x:v>
      </x:c>
      <x:c r="H5" s="67" t="str">
        <x:v>finance_memo#paragraph_1; finance_memo#item_4; policy_01#1.8-1.9</x:v>
      </x:c>
      <x:c r="I5" s="67" t="str">
        <x:v>order_86_A#1-3</x:v>
      </x:c>
      <x:c r="J5" s="67" t="str"/>
      <x:c r="K5" s="67" t="str"/>
      <x:c r="L5" s="67" t="str">
        <x:v>authority_hierarchy</x:v>
      </x:c>
      <x:c r="M5" s="79" t="b">
        <x:v>0</x:v>
      </x:c>
      <x:c r="N5" s="67" t="str">
        <x:v>10 000 руб. — контрольный порог; применимый лимит определяется Положением и приказом.</x:v>
      </x:c>
      <x:c r="O5" s="67" t="str">
        <x:v>valid</x:v>
      </x:c>
    </x:row>
    <x:row r="6" ht="58" customHeight="1">
      <x:c r="A6" s="67" t="str">
        <x:v>trip_001</x:v>
      </x:c>
      <x:c r="B6" s="67" t="str">
        <x:v>A</x:v>
      </x:c>
      <x:c r="C6" s="67" t="str">
        <x:v>Q5</x:v>
      </x:c>
      <x:c r="D6" s="67" t="str">
        <x:v>Сколько ночей фактически проживал работник?</x:v>
      </x:c>
      <x:c r="E6" s="67" t="str">
        <x:v>integer</x:v>
      </x:c>
      <x:c r="F6" s="67" t="n">
        <x:v>4</x:v>
      </x:c>
      <x:c r="G6" s="67" t="str">
        <x:v>four_nights</x:v>
      </x:c>
      <x:c r="H6" s="67" t="str">
        <x:v>hotel_invoice#rows_1_4</x:v>
      </x:c>
      <x:c r="I6" s="67" t="str">
        <x:v>hotel_invoice#checkin_checkout</x:v>
      </x:c>
      <x:c r="J6" s="67" t="str">
        <x:v>16.09, 17.09, 18.09, 19.09 = 4 даты выезда</x:v>
      </x:c>
      <x:c r="K6" s="67" t="str"/>
      <x:c r="L6" s="67" t="str">
        <x:v>fact_extraction</x:v>
      </x:c>
      <x:c r="M6" s="79" t="b">
        <x:v>0</x:v>
      </x:c>
      <x:c r="N6" s="67" t="str">
        <x:v>Каждая строка гостиничного счёта соответствует одной ночи.</x:v>
      </x:c>
      <x:c r="O6" s="67" t="str">
        <x:v>valid</x:v>
      </x:c>
    </x:row>
    <x:row r="7" ht="58" customHeight="1">
      <x:c r="A7" s="67" t="str">
        <x:v>trip_001</x:v>
      </x:c>
      <x:c r="B7" s="67" t="str">
        <x:v>A</x:v>
      </x:c>
      <x:c r="C7" s="67" t="str">
        <x:v>Q6</x:v>
      </x:c>
      <x:c r="D7" s="67" t="str">
        <x:v>Каков максимально допустимый расход на проживание в предъявленной версии пакета?</x:v>
      </x:c>
      <x:c r="E7" s="67" t="str">
        <x:v>money</x:v>
      </x:c>
      <x:c r="F7" s="67" t="n">
        <x:v>48000</x:v>
      </x:c>
      <x:c r="G7" s="67" t="str">
        <x:v>max_allowable_hotel_cost</x:v>
      </x:c>
      <x:c r="H7" s="67" t="str">
        <x:v>policy_01#appendix_1; order_86_A#1-4; hotel_invoice#rows_1_4</x:v>
      </x:c>
      <x:c r="I7" s="67" t="str"/>
      <x:c r="J7" s="67" t="str">
        <x:v>4 × 12 000 = 48 000</x:v>
      </x:c>
      <x:c r="K7" s="67" t="str"/>
      <x:c r="L7" s="67" t="str">
        <x:v>temporal_calculation</x:v>
      </x:c>
      <x:c r="M7" s="79" t="b">
        <x:v>1</x:v>
      </x:c>
      <x:c r="N7" s="67" t="str">
        <x:v>Применимость лимита определяется датой выезда, указанной для каждой ночи.</x:v>
      </x:c>
      <x:c r="O7" s="67" t="str">
        <x:v>valid</x:v>
      </x:c>
    </x:row>
    <x:row r="8" ht="58" customHeight="1">
      <x:c r="A8" s="67" t="str">
        <x:v>trip_001</x:v>
      </x:c>
      <x:c r="B8" s="67" t="str">
        <x:v>A</x:v>
      </x:c>
      <x:c r="C8" s="67" t="str">
        <x:v>Q7</x:v>
      </x:c>
      <x:c r="D8" s="67" t="str">
        <x:v>Какую сумму расходов на проживание следует возместить?</x:v>
      </x:c>
      <x:c r="E8" s="67" t="str">
        <x:v>money</x:v>
      </x:c>
      <x:c r="F8" s="67" t="n">
        <x:v>45600</x:v>
      </x:c>
      <x:c r="G8" s="67" t="str">
        <x:v>reimburse</x:v>
      </x:c>
      <x:c r="H8" s="67" t="str">
        <x:v>policy_01#7.1,7.6; order_86_A#1-4; hotel_invoice#rows_1_4; hotel_payment#payment</x:v>
      </x:c>
      <x:c r="I8" s="67" t="str">
        <x:v>trip_request#hotel_preapproval; sed_extension#extra_night</x:v>
      </x:c>
      <x:c r="J8" s="67" t="str">
        <x:v>min(11 400, 12 000) × 4 = 45 600</x:v>
      </x:c>
      <x:c r="K8" s="67" t="str"/>
      <x:c r="L8" s="67" t="str">
        <x:v>capped_reimbursement</x:v>
      </x:c>
      <x:c r="M8" s="79" t="b">
        <x:v>1</x:v>
      </x:c>
      <x:c r="N8" s="67" t="str">
        <x:v>В A фактическая стоимость ниже лимита всех ночей; в B четвёртая ночь ограничена базовыми 9 000 руб.</x:v>
      </x:c>
      <x:c r="O8" s="67" t="str">
        <x:v>valid</x:v>
      </x:c>
    </x:row>
    <x:row r="9" ht="58" customHeight="1">
      <x:c r="A9" s="67" t="str">
        <x:v>trip_001</x:v>
      </x:c>
      <x:c r="B9" s="67" t="str">
        <x:v>A</x:v>
      </x:c>
      <x:c r="C9" s="67" t="str">
        <x:v>Q8</x:v>
      </x:c>
      <x:c r="D9" s="67" t="str">
        <x:v>Была ли стоимость 11 400 руб. за ночь предварительно заявлена?</x:v>
      </x:c>
      <x:c r="E9" s="67" t="str">
        <x:v>boolean</x:v>
      </x:c>
      <x:c r="F9" s="79" t="b">
        <x:v>1</x:v>
      </x:c>
      <x:c r="G9" s="67" t="str">
        <x:v>preapproved</x:v>
      </x:c>
      <x:c r="H9" s="67" t="str">
        <x:v>trip_request#hotel_cost</x:v>
      </x:c>
      <x:c r="I9" s="67" t="str">
        <x:v>trip_request#approval_status</x:v>
      </x:c>
      <x:c r="J9" s="67" t="str"/>
      <x:c r="K9" s="67" t="str"/>
      <x:c r="L9" s="67" t="str">
        <x:v>preapproval</x:v>
      </x:c>
      <x:c r="M9" s="79" t="b">
        <x:v>0</x:v>
      </x:c>
      <x:c r="N9" s="67" t="str">
        <x:v>Заявка прямо содержит 3 ночи по 11 400 руб. и ссылку на приказ № 86-ОД.</x:v>
      </x:c>
      <x:c r="O9" s="67" t="str">
        <x:v>valid</x:v>
      </x:c>
    </x:row>
    <x:row r="10" ht="58" customHeight="1">
      <x:c r="A10" s="67" t="str">
        <x:v>trip_001</x:v>
      </x:c>
      <x:c r="B10" s="67" t="str">
        <x:v>A</x:v>
      </x:c>
      <x:c r="C10" s="67" t="str">
        <x:v>Q9</x:v>
      </x:c>
      <x:c r="D10" s="67" t="str">
        <x:v>Означает ли предварительное согласование автоматическое возмещение всей суммы?</x:v>
      </x:c>
      <x:c r="E10" s="67" t="str">
        <x:v>boolean</x:v>
      </x:c>
      <x:c r="F10" s="79" t="b">
        <x:v>0</x:v>
      </x:c>
      <x:c r="G10" s="67" t="str">
        <x:v>preapproval_not_final_reimbursement</x:v>
      </x:c>
      <x:c r="H10" s="67" t="str">
        <x:v>policy_01#2.6</x:v>
      </x:c>
      <x:c r="I10" s="67" t="str">
        <x:v>policy_01#7.1,7.6</x:v>
      </x:c>
      <x:c r="J10" s="67" t="str"/>
      <x:c r="K10" s="67" t="str"/>
      <x:c r="L10" s="67" t="str">
        <x:v>permission_vs_payment</x:v>
      </x:c>
      <x:c r="M10" s="79" t="b">
        <x:v>0</x:v>
      </x:c>
      <x:c r="N10" s="67" t="str">
        <x:v>Окончательное возмещение зависит от фактических обстоятельств, лимита и документов.</x:v>
      </x:c>
      <x:c r="O10" s="67" t="str">
        <x:v>valid</x:v>
      </x:c>
    </x:row>
    <x:row r="11" ht="58" customHeight="1">
      <x:c r="A11" s="67" t="str">
        <x:v>trip_001</x:v>
      </x:c>
      <x:c r="B11" s="67" t="str">
        <x:v>A</x:v>
      </x:c>
      <x:c r="C11" s="67" t="str">
        <x:v>Q10</x:v>
      </x:c>
      <x:c r="D11" s="67" t="str">
        <x:v>Какими были первоначальные даты командировки?</x:v>
      </x:c>
      <x:c r="E11" s="67" t="str">
        <x:v>date_range</x:v>
      </x:c>
      <x:c r="F11" s="67" t="str">
        <x:v>2026-09-15/2026-09-18</x:v>
      </x:c>
      <x:c r="G11" s="67" t="str">
        <x:v>original_trip_period</x:v>
      </x:c>
      <x:c r="H11" s="67" t="str">
        <x:v>trip_request#trip_dates; trip_order_241#1</x:v>
      </x:c>
      <x:c r="I11" s="67" t="str"/>
      <x:c r="J11" s="67" t="str"/>
      <x:c r="K11" s="67" t="str"/>
      <x:c r="L11" s="67" t="str">
        <x:v>cross_document_consistency</x:v>
      </x:c>
      <x:c r="M11" s="79" t="b">
        <x:v>0</x:v>
      </x:c>
      <x:c r="N11" s="67" t="str">
        <x:v>Заявка и первоначальный приказ совпадают.</x:v>
      </x:c>
      <x:c r="O11" s="67" t="str">
        <x:v>valid</x:v>
      </x:c>
    </x:row>
    <x:row r="12" ht="58" customHeight="1">
      <x:c r="A12" s="67" t="str">
        <x:v>trip_001</x:v>
      </x:c>
      <x:c r="B12" s="67" t="str">
        <x:v>A</x:v>
      </x:c>
      <x:c r="C12" s="67" t="str">
        <x:v>Q11</x:v>
      </x:c>
      <x:c r="D12" s="67" t="str">
        <x:v>Было ли продление одобрено работодателем до окончания первоначального срока?</x:v>
      </x:c>
      <x:c r="E12" s="67" t="str">
        <x:v>boolean</x:v>
      </x:c>
      <x:c r="F12" s="79" t="b">
        <x:v>1</x:v>
      </x:c>
      <x:c r="G12" s="67" t="str">
        <x:v>approved_in_time</x:v>
      </x:c>
      <x:c r="H12" s="67" t="str">
        <x:v>policy_01#4.1,4.4; sed_extension#final_decision</x:v>
      </x:c>
      <x:c r="I12" s="67" t="str">
        <x:v>trip_order_241#1; trip_order_249#basis</x:v>
      </x:c>
      <x:c r="J12" s="67" t="str">
        <x:v>17.09.2026 12:26 &lt; окончание 18.09.2026</x:v>
      </x:c>
      <x:c r="K12" s="67" t="str"/>
      <x:c r="L12" s="67" t="str">
        <x:v>decision_timing</x:v>
      </x:c>
      <x:c r="M12" s="79" t="b">
        <x:v>0</x:v>
      </x:c>
      <x:c r="N12" s="67" t="str">
        <x:v>Юридически значим момент — фиксация решения в СЭД, а не дата позднего приказа.</x:v>
      </x:c>
      <x:c r="O12" s="67" t="str">
        <x:v>valid</x:v>
      </x:c>
    </x:row>
    <x:row r="13" ht="58" customHeight="1">
      <x:c r="A13" s="67" t="str">
        <x:v>trip_001</x:v>
      </x:c>
      <x:c r="B13" s="67" t="str">
        <x:v>A</x:v>
      </x:c>
      <x:c r="C13" s="67" t="str">
        <x:v>Q12</x:v>
      </x:c>
      <x:c r="D13" s="67" t="str">
        <x:v>Подтверждено ли фактическое выполнение служебной задачи 19 сентября?</x:v>
      </x:c>
      <x:c r="E13" s="67" t="str">
        <x:v>boolean</x:v>
      </x:c>
      <x:c r="F13" s="79" t="b">
        <x:v>1</x:v>
      </x:c>
      <x:c r="G13" s="67" t="str">
        <x:v>presence_and_business_activity_confirmed</x:v>
      </x:c>
      <x:c r="H13" s="67" t="str">
        <x:v>meeting_protocol#date_time_participants_decisions</x:v>
      </x:c>
      <x:c r="I13" s="67" t="str">
        <x:v>transport_pack#taxi_1; transport_pack#return_flight; hotel_invoice#checkout</x:v>
      </x:c>
      <x:c r="J13" s="67" t="str"/>
      <x:c r="K13" s="67" t="str"/>
      <x:c r="L13" s="67" t="str">
        <x:v>presence_evidence</x:v>
      </x:c>
      <x:c r="M13" s="79" t="b">
        <x:v>0</x:v>
      </x:c>
      <x:c r="N13" s="67" t="str">
        <x:v>Протокол подтверждает не разрешение, а само выполнение работы у клиента.</x:v>
      </x:c>
      <x:c r="O13" s="67" t="str">
        <x:v>valid</x:v>
      </x:c>
    </x:row>
    <x:row r="14" ht="58" customHeight="1">
      <x:c r="A14" s="67" t="str">
        <x:v>trip_001</x:v>
      </x:c>
      <x:c r="B14" s="67" t="str">
        <x:v>A</x:v>
      </x:c>
      <x:c r="C14" s="67" t="str">
        <x:v>Q13</x:v>
      </x:c>
      <x:c r="D14" s="67" t="str">
        <x:v>Какая дата и время определяют момент принятия решения о продлении?</x:v>
      </x:c>
      <x:c r="E14" s="67" t="str">
        <x:v>datetime</x:v>
      </x:c>
      <x:c r="F14" s="67" t="str">
        <x:v>2026-09-17T12:26:00</x:v>
      </x:c>
      <x:c r="G14" s="67" t="str">
        <x:v>sed_final_decision_time</x:v>
      </x:c>
      <x:c r="H14" s="67" t="str">
        <x:v>policy_01#4.4-4.5; sed_extension#final_decision</x:v>
      </x:c>
      <x:c r="I14" s="67" t="str">
        <x:v>trip_order_249#basis</x:v>
      </x:c>
      <x:c r="J14" s="67" t="str"/>
      <x:c r="K14" s="67" t="str"/>
      <x:c r="L14" s="67" t="str">
        <x:v>decision_vs_formalization</x:v>
      </x:c>
      <x:c r="M14" s="79" t="b">
        <x:v>0</x:v>
      </x:c>
      <x:c r="N14" s="67" t="str">
        <x:v>Приказ от 21 сентября оформляет уже принятое 17 сентября решение.</x:v>
      </x:c>
      <x:c r="O14" s="67" t="str">
        <x:v>valid</x:v>
      </x:c>
    </x:row>
    <x:row r="15" ht="58" customHeight="1">
      <x:c r="A15" s="67" t="str">
        <x:v>trip_001</x:v>
      </x:c>
      <x:c r="B15" s="67" t="str">
        <x:v>A</x:v>
      </x:c>
      <x:c r="C15" s="67" t="str">
        <x:v>Q14</x:v>
      </x:c>
      <x:c r="D15" s="67" t="str">
        <x:v>Достаточно ли подтверждена первая поездка на такси?</x:v>
      </x:c>
      <x:c r="E15" s="67" t="str">
        <x:v>boolean</x:v>
      </x:c>
      <x:c r="F15" s="79" t="b">
        <x:v>1</x:v>
      </x:c>
      <x:c r="G15" s="67" t="str">
        <x:v>taxi_expense_supported</x:v>
      </x:c>
      <x:c r="H15" s="67" t="str">
        <x:v>policy_01#8.1; transport_pack#taxi_1</x:v>
      </x:c>
      <x:c r="I15" s="67" t="str">
        <x:v>meeting_protocol#location_and_purpose</x:v>
      </x:c>
      <x:c r="J15" s="67" t="str"/>
      <x:c r="K15" s="67" t="str"/>
      <x:c r="L15" s="67" t="str">
        <x:v>evidence_completeness</x:v>
      </x:c>
      <x:c r="M15" s="79" t="b">
        <x:v>0</x:v>
      </x:c>
      <x:c r="N15" s="67" t="str">
        <x:v>Есть оплата, полный маршрут и связь с проектом.</x:v>
      </x:c>
      <x:c r="O15" s="67" t="str">
        <x:v>valid</x:v>
      </x:c>
    </x:row>
    <x:row r="16" ht="58" customHeight="1">
      <x:c r="A16" s="67" t="str">
        <x:v>trip_001</x:v>
      </x:c>
      <x:c r="B16" s="67" t="str">
        <x:v>A</x:v>
      </x:c>
      <x:c r="C16" s="67" t="str">
        <x:v>Q15</x:v>
      </x:c>
      <x:c r="D16" s="67" t="str">
        <x:v>Достаточно ли подтверждена вторая поездка на такси?</x:v>
      </x:c>
      <x:c r="E16" s="67" t="str">
        <x:v>boolean</x:v>
      </x:c>
      <x:c r="F16" s="79" t="b">
        <x:v>0</x:v>
      </x:c>
      <x:c r="G16" s="67" t="str">
        <x:v>insufficient_information</x:v>
      </x:c>
      <x:c r="H16" s="67" t="str">
        <x:v>policy_01#8.1-8.3; transport_pack#taxi_2</x:v>
      </x:c>
      <x:c r="I16" s="67" t="str">
        <x:v>expense_report#taxi_2_review</x:v>
      </x:c>
      <x:c r="J16" s="67" t="str"/>
      <x:c r="K16" s="67" t="str">
        <x:v>destination_address; business_purpose_evidence</x:v>
      </x:c>
      <x:c r="L16" s="67" t="str">
        <x:v>abstention</x:v>
      </x:c>
      <x:c r="M16" s="79" t="b">
        <x:v>0</x:v>
      </x:c>
      <x:c r="N16" s="67" t="str">
        <x:v>Оплата и отправление подтверждены, но отсутствуют назначение и служебная цель.</x:v>
      </x:c>
      <x:c r="O16" s="67" t="str">
        <x:v>valid</x:v>
      </x:c>
    </x:row>
    <x:row r="17" ht="58" customHeight="1">
      <x:c r="A17" s="67" t="str">
        <x:v>trip_001</x:v>
      </x:c>
      <x:c r="B17" s="67" t="str">
        <x:v>A</x:v>
      </x:c>
      <x:c r="C17" s="67" t="str">
        <x:v>Q16</x:v>
      </x:c>
      <x:c r="D17" s="67" t="str">
        <x:v>Соблюдён ли срок подачи авансового отчёта?</x:v>
      </x:c>
      <x:c r="E17" s="67" t="str">
        <x:v>boolean</x:v>
      </x:c>
      <x:c r="F17" s="79" t="b">
        <x:v>1</x:v>
      </x:c>
      <x:c r="G17" s="67" t="str">
        <x:v>submitted_on_time</x:v>
      </x:c>
      <x:c r="H17" s="67" t="str">
        <x:v>policy_01#10.1-10.2; expense_report#submission_date</x:v>
      </x:c>
      <x:c r="I17" s="67" t="str">
        <x:v>transport_pack#return_flight</x:v>
      </x:c>
      <x:c r="J17" s="67" t="str">
        <x:v>Возвращение 19.09 (сб); рабочие дни: 21.09, 22.09, 23.09; подано 23.09</x:v>
      </x:c>
      <x:c r="K17" s="67" t="str"/>
      <x:c r="L17" s="67" t="str">
        <x:v>business_day_calculation</x:v>
      </x:c>
      <x:c r="M17" s="79" t="b">
        <x:v>0</x:v>
      </x:c>
      <x:c r="N17" s="67" t="str">
        <x:v>23 сентября — третий рабочий день после возвращения.</x:v>
      </x:c>
      <x:c r="O17" s="67" t="str">
        <x:v>valid</x:v>
      </x:c>
    </x:row>
    <x:row r="18" ht="58" customHeight="1">
      <x:c r="A18" s="67" t="str">
        <x:v>trip_001</x:v>
      </x:c>
      <x:c r="B18" s="67" t="str">
        <x:v>A</x:v>
      </x:c>
      <x:c r="C18" s="67" t="str">
        <x:v>Q17</x:v>
      </x:c>
      <x:c r="D18" s="67" t="str">
        <x:v>Каких сведений не хватает для окончательного признания спорного расхода по второй поездке на такси?</x:v>
      </x:c>
      <x:c r="E18" s="67" t="str">
        <x:v>code_set</x:v>
      </x:c>
      <x:c r="F18" s="67" t="str">
        <x:v>["destination_address", "business_purpose_evidence"]</x:v>
      </x:c>
      <x:c r="G18" s="67" t="str">
        <x:v>request_additional_documents</x:v>
      </x:c>
      <x:c r="H18" s="67" t="str">
        <x:v>policy_01#8.1-8.3; transport_pack#taxi_2; expense_report#taxi_2_note</x:v>
      </x:c>
      <x:c r="I18" s="67" t="str"/>
      <x:c r="J18" s="67" t="str"/>
      <x:c r="K18" s="67" t="str">
        <x:v>destination_address; business_purpose_evidence</x:v>
      </x:c>
      <x:c r="L18" s="67" t="str">
        <x:v>missing_information</x:v>
      </x:c>
      <x:c r="M18" s="79" t="b">
        <x:v>0</x:v>
      </x:c>
      <x:c r="N18" s="67" t="str">
        <x:v>Нельзя додумывать адрес назначения или деловую цель по времени и точке отправления.</x:v>
      </x:c>
      <x:c r="O18" s="67" t="str">
        <x:v>valid</x:v>
      </x:c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conditionalFormatting sqref="M2:M18">
    <x:cfRule type="expression" dxfId="1" priority="1">
      <x:formula>M2=TRUE</x:formula>
    </x:cfRule>
  </x:conditionalFormatting>
  <x:conditionalFormatting sqref="O2:O18">
    <x:cfRule type="expression" dxfId="2" priority="2">
      <x:formula>O2="valid"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56" hidden="0" customWidth="1"/>
    <x:col min="5" max="5" width="18" hidden="0" customWidth="1"/>
    <x:col min="6" max="6" width="26" hidden="0" customWidth="1"/>
    <x:col min="7" max="7" width="30" hidden="0" customWidth="1"/>
    <x:col min="8" max="8" width="52" hidden="0" customWidth="1"/>
    <x:col min="9" max="9" width="44" hidden="0" customWidth="1"/>
    <x:col min="10" max="10" width="42" hidden="0" customWidth="1"/>
    <x:col min="11" max="11" width="34" hidden="0" customWidth="1"/>
    <x:col min="12" max="12" width="26" hidden="0" customWidth="1"/>
    <x:col min="13" max="13" width="20" hidden="0" customWidth="1"/>
    <x:col min="14" max="14" width="58" hidden="0" customWidth="1"/>
    <x:col min="15" max="15" width="14" hidden="0" customWidth="1"/>
  </x:cols>
  <x:sheetData>
    <x:row r="1" ht="58" customHeight="1">
      <x:c r="A1" s="78" t="str">
        <x:v>case_id</x:v>
      </x:c>
      <x:c r="B1" s="78" t="str">
        <x:v>variant_id</x:v>
      </x:c>
      <x:c r="C1" s="78" t="str">
        <x:v>question_id</x:v>
      </x:c>
      <x:c r="D1" s="78" t="str">
        <x:v>question</x:v>
      </x:c>
      <x:c r="E1" s="78" t="str">
        <x:v>answer_type</x:v>
      </x:c>
      <x:c r="F1" s="78" t="str">
        <x:v>answer_normalized</x:v>
      </x:c>
      <x:c r="G1" s="78" t="str">
        <x:v>decision</x:v>
      </x:c>
      <x:c r="H1" s="78" t="str">
        <x:v>required_evidence</x:v>
      </x:c>
      <x:c r="I1" s="78" t="str">
        <x:v>supporting_evidence</x:v>
      </x:c>
      <x:c r="J1" s="78" t="str">
        <x:v>calculation</x:v>
      </x:c>
      <x:c r="K1" s="78" t="str">
        <x:v>missing_information</x:v>
      </x:c>
      <x:c r="L1" s="78" t="str">
        <x:v>skill</x:v>
      </x:c>
      <x:c r="M1" s="78" t="str">
        <x:v>must_change_from_other_variant</x:v>
      </x:c>
      <x:c r="N1" s="78" t="str">
        <x:v>rationale</x:v>
      </x:c>
      <x:c r="O1" s="78" t="str">
        <x:v>gold_status</x:v>
      </x:c>
    </x:row>
    <x:row r="2" ht="58" customHeight="1">
      <x:c r="A2" s="67" t="str">
        <x:v>trip_001</x:v>
      </x:c>
      <x:c r="B2" s="67" t="str">
        <x:v>B</x:v>
      </x:c>
      <x:c r="C2" s="67" t="str">
        <x:v>Q1</x:v>
      </x:c>
      <x:c r="D2" s="67" t="str">
        <x:v>Каков базовый лимит проживания для руководителя проекта в городе-миллионнике?</x:v>
      </x:c>
      <x:c r="E2" s="67" t="str">
        <x:v>money</x:v>
      </x:c>
      <x:c r="F2" s="67" t="n">
        <x:v>9000</x:v>
      </x:c>
      <x:c r="G2" s="67" t="str">
        <x:v>9000_per_night</x:v>
      </x:c>
      <x:c r="H2" s="67" t="str">
        <x:v>policy_01#appendix_1</x:v>
      </x:c>
      <x:c r="I2" s="67" t="str"/>
      <x:c r="J2" s="67" t="str"/>
      <x:c r="K2" s="67" t="str"/>
      <x:c r="L2" s="67" t="str">
        <x:v>rule_retrieval</x:v>
      </x:c>
      <x:c r="M2" s="79" t="b">
        <x:v>0</x:v>
      </x:c>
      <x:c r="N2" s="67" t="str">
        <x:v>Базовый лимит берётся из приложения 1; специальный приказ не отменяет само базовое правило.</x:v>
      </x:c>
      <x:c r="O2" s="67" t="str">
        <x:v>valid</x:v>
      </x:c>
    </x:row>
    <x:row r="3" ht="58" customHeight="1">
      <x:c r="A3" s="67" t="str">
        <x:v>trip_001</x:v>
      </x:c>
      <x:c r="B3" s="67" t="str">
        <x:v>B</x:v>
      </x:c>
      <x:c r="C3" s="67" t="str">
        <x:v>Q2</x:v>
      </x:c>
      <x:c r="D3" s="67" t="str">
        <x:v>Каков временный лимит проживания в Казани по приказу № 86-ОД?</x:v>
      </x:c>
      <x:c r="E3" s="67" t="str">
        <x:v>money</x:v>
      </x:c>
      <x:c r="F3" s="67" t="n">
        <x:v>12000</x:v>
      </x:c>
      <x:c r="G3" s="67" t="str">
        <x:v>12000_per_night</x:v>
      </x:c>
      <x:c r="H3" s="67" t="str">
        <x:v>order_86_B#1</x:v>
      </x:c>
      <x:c r="I3" s="67" t="str">
        <x:v>policy_01#1.8; policy_01#7.3-7.4</x:v>
      </x:c>
      <x:c r="J3" s="67" t="str"/>
      <x:c r="K3" s="67" t="str"/>
      <x:c r="L3" s="67" t="str">
        <x:v>authority_temporal</x:v>
      </x:c>
      <x:c r="M3" s="79" t="b">
        <x:v>0</x:v>
      </x:c>
      <x:c r="N3" s="67" t="str">
        <x:v>В обеих версиях размер лимита одинаков; меняется только конечная дата периода.</x:v>
      </x:c>
      <x:c r="O3" s="67" t="str">
        <x:v>valid</x:v>
      </x:c>
    </x:row>
    <x:row r="4" ht="58" customHeight="1">
      <x:c r="A4" s="67" t="str">
        <x:v>trip_001</x:v>
      </x:c>
      <x:c r="B4" s="67" t="str">
        <x:v>B</x:v>
      </x:c>
      <x:c r="C4" s="67" t="str">
        <x:v>Q3</x:v>
      </x:c>
      <x:c r="D4" s="67" t="str">
        <x:v>При какой стоимости одной ночи требуется дополнительная проверка?</x:v>
      </x:c>
      <x:c r="E4" s="67" t="str">
        <x:v>threshold</x:v>
      </x:c>
      <x:c r="F4" s="67" t="str">
        <x:v>&gt;10000</x:v>
      </x:c>
      <x:c r="G4" s="67" t="str">
        <x:v>additional_review</x:v>
      </x:c>
      <x:c r="H4" s="67" t="str">
        <x:v>finance_memo#paragraph_1</x:v>
      </x:c>
      <x:c r="I4" s="67" t="str"/>
      <x:c r="J4" s="67" t="str"/>
      <x:c r="K4" s="67" t="str"/>
      <x:c r="L4" s="67" t="str">
        <x:v>control_threshold</x:v>
      </x:c>
      <x:c r="M4" s="79" t="b">
        <x:v>0</x:v>
      </x:c>
      <x:c r="N4" s="67" t="str">
        <x:v>Проверка начинается только при превышении 10 000 руб., а не при равенстве.</x:v>
      </x:c>
      <x:c r="O4" s="67" t="str">
        <x:v>valid</x:v>
      </x:c>
    </x:row>
    <x:row r="5" ht="58" customHeight="1">
      <x:c r="A5" s="67" t="str">
        <x:v>trip_001</x:v>
      </x:c>
      <x:c r="B5" s="67" t="str">
        <x:v>B</x:v>
      </x:c>
      <x:c r="C5" s="67" t="str">
        <x:v>Q4</x:v>
      </x:c>
      <x:c r="D5" s="67" t="str">
        <x:v>Является ли порог 10 000 руб. максимальной суммой возмещения?</x:v>
      </x:c>
      <x:c r="E5" s="67" t="str">
        <x:v>boolean</x:v>
      </x:c>
      <x:c r="F5" s="79" t="b">
        <x:v>0</x:v>
      </x:c>
      <x:c r="G5" s="67" t="str">
        <x:v>not_a_reimbursement_cap</x:v>
      </x:c>
      <x:c r="H5" s="67" t="str">
        <x:v>finance_memo#paragraph_1; finance_memo#item_4; policy_01#1.8-1.9</x:v>
      </x:c>
      <x:c r="I5" s="67" t="str">
        <x:v>order_86_B#1-3</x:v>
      </x:c>
      <x:c r="J5" s="67" t="str"/>
      <x:c r="K5" s="67" t="str"/>
      <x:c r="L5" s="67" t="str">
        <x:v>authority_hierarchy</x:v>
      </x:c>
      <x:c r="M5" s="79" t="b">
        <x:v>0</x:v>
      </x:c>
      <x:c r="N5" s="67" t="str">
        <x:v>10 000 руб. — контрольный порог; применимый лимит определяется Положением и приказом.</x:v>
      </x:c>
      <x:c r="O5" s="67" t="str">
        <x:v>valid</x:v>
      </x:c>
    </x:row>
    <x:row r="6" ht="58" customHeight="1">
      <x:c r="A6" s="67" t="str">
        <x:v>trip_001</x:v>
      </x:c>
      <x:c r="B6" s="67" t="str">
        <x:v>B</x:v>
      </x:c>
      <x:c r="C6" s="67" t="str">
        <x:v>Q5</x:v>
      </x:c>
      <x:c r="D6" s="67" t="str">
        <x:v>Сколько ночей фактически проживал работник?</x:v>
      </x:c>
      <x:c r="E6" s="67" t="str">
        <x:v>integer</x:v>
      </x:c>
      <x:c r="F6" s="67" t="n">
        <x:v>4</x:v>
      </x:c>
      <x:c r="G6" s="67" t="str">
        <x:v>four_nights</x:v>
      </x:c>
      <x:c r="H6" s="67" t="str">
        <x:v>hotel_invoice#rows_1_4</x:v>
      </x:c>
      <x:c r="I6" s="67" t="str">
        <x:v>hotel_invoice#checkin_checkout</x:v>
      </x:c>
      <x:c r="J6" s="67" t="str">
        <x:v>16.09, 17.09, 18.09, 19.09 = 4 даты выезда</x:v>
      </x:c>
      <x:c r="K6" s="67" t="str"/>
      <x:c r="L6" s="67" t="str">
        <x:v>fact_extraction</x:v>
      </x:c>
      <x:c r="M6" s="79" t="b">
        <x:v>0</x:v>
      </x:c>
      <x:c r="N6" s="67" t="str">
        <x:v>Каждая строка гостиничного счёта соответствует одной ночи.</x:v>
      </x:c>
      <x:c r="O6" s="67" t="str">
        <x:v>valid</x:v>
      </x:c>
    </x:row>
    <x:row r="7" ht="58" customHeight="1">
      <x:c r="A7" s="67" t="str">
        <x:v>trip_001</x:v>
      </x:c>
      <x:c r="B7" s="67" t="str">
        <x:v>B</x:v>
      </x:c>
      <x:c r="C7" s="67" t="str">
        <x:v>Q6</x:v>
      </x:c>
      <x:c r="D7" s="67" t="str">
        <x:v>Каков максимально допустимый расход на проживание в предъявленной версии пакета?</x:v>
      </x:c>
      <x:c r="E7" s="67" t="str">
        <x:v>money</x:v>
      </x:c>
      <x:c r="F7" s="67" t="n">
        <x:v>45000</x:v>
      </x:c>
      <x:c r="G7" s="67" t="str">
        <x:v>max_allowable_hotel_cost</x:v>
      </x:c>
      <x:c r="H7" s="67" t="str">
        <x:v>policy_01#appendix_1; order_86_B#1-4; hotel_invoice#rows_1_4</x:v>
      </x:c>
      <x:c r="I7" s="67" t="str"/>
      <x:c r="J7" s="67" t="str">
        <x:v>3 × 12 000 + 1 × 9 000 = 45 000</x:v>
      </x:c>
      <x:c r="K7" s="67" t="str"/>
      <x:c r="L7" s="67" t="str">
        <x:v>temporal_calculation</x:v>
      </x:c>
      <x:c r="M7" s="79" t="b">
        <x:v>1</x:v>
      </x:c>
      <x:c r="N7" s="67" t="str">
        <x:v>Применимость лимита определяется датой выезда, указанной для каждой ночи.</x:v>
      </x:c>
      <x:c r="O7" s="67" t="str">
        <x:v>valid</x:v>
      </x:c>
    </x:row>
    <x:row r="8" ht="58" customHeight="1">
      <x:c r="A8" s="67" t="str">
        <x:v>trip_001</x:v>
      </x:c>
      <x:c r="B8" s="67" t="str">
        <x:v>B</x:v>
      </x:c>
      <x:c r="C8" s="67" t="str">
        <x:v>Q7</x:v>
      </x:c>
      <x:c r="D8" s="67" t="str">
        <x:v>Какую сумму расходов на проживание следует возместить?</x:v>
      </x:c>
      <x:c r="E8" s="67" t="str">
        <x:v>money</x:v>
      </x:c>
      <x:c r="F8" s="67" t="n">
        <x:v>43200</x:v>
      </x:c>
      <x:c r="G8" s="67" t="str">
        <x:v>partially_reimburse</x:v>
      </x:c>
      <x:c r="H8" s="67" t="str">
        <x:v>policy_01#7.1,7.6; order_86_B#1-4; hotel_invoice#rows_1_4; hotel_payment#payment</x:v>
      </x:c>
      <x:c r="I8" s="67" t="str">
        <x:v>trip_request#hotel_preapproval; sed_extension#extra_night</x:v>
      </x:c>
      <x:c r="J8" s="67" t="str">
        <x:v>11 400 × 3 + min(11 400, 9 000) = 43 200</x:v>
      </x:c>
      <x:c r="K8" s="67" t="str"/>
      <x:c r="L8" s="67" t="str">
        <x:v>capped_reimbursement</x:v>
      </x:c>
      <x:c r="M8" s="79" t="b">
        <x:v>1</x:v>
      </x:c>
      <x:c r="N8" s="67" t="str">
        <x:v>В A фактическая стоимость ниже лимита всех ночей; в B четвёртая ночь ограничена базовыми 9 000 руб.</x:v>
      </x:c>
      <x:c r="O8" s="67" t="str">
        <x:v>valid</x:v>
      </x:c>
    </x:row>
    <x:row r="9" ht="58" customHeight="1">
      <x:c r="A9" s="67" t="str">
        <x:v>trip_001</x:v>
      </x:c>
      <x:c r="B9" s="67" t="str">
        <x:v>B</x:v>
      </x:c>
      <x:c r="C9" s="67" t="str">
        <x:v>Q8</x:v>
      </x:c>
      <x:c r="D9" s="67" t="str">
        <x:v>Была ли стоимость 11 400 руб. за ночь предварительно заявлена?</x:v>
      </x:c>
      <x:c r="E9" s="67" t="str">
        <x:v>boolean</x:v>
      </x:c>
      <x:c r="F9" s="79" t="b">
        <x:v>1</x:v>
      </x:c>
      <x:c r="G9" s="67" t="str">
        <x:v>preapproved</x:v>
      </x:c>
      <x:c r="H9" s="67" t="str">
        <x:v>trip_request#hotel_cost</x:v>
      </x:c>
      <x:c r="I9" s="67" t="str">
        <x:v>trip_request#approval_status</x:v>
      </x:c>
      <x:c r="J9" s="67" t="str"/>
      <x:c r="K9" s="67" t="str"/>
      <x:c r="L9" s="67" t="str">
        <x:v>preapproval</x:v>
      </x:c>
      <x:c r="M9" s="79" t="b">
        <x:v>0</x:v>
      </x:c>
      <x:c r="N9" s="67" t="str">
        <x:v>Заявка прямо содержит 3 ночи по 11 400 руб. и ссылку на приказ № 86-ОД.</x:v>
      </x:c>
      <x:c r="O9" s="67" t="str">
        <x:v>valid</x:v>
      </x:c>
    </x:row>
    <x:row r="10" ht="58" customHeight="1">
      <x:c r="A10" s="67" t="str">
        <x:v>trip_001</x:v>
      </x:c>
      <x:c r="B10" s="67" t="str">
        <x:v>B</x:v>
      </x:c>
      <x:c r="C10" s="67" t="str">
        <x:v>Q9</x:v>
      </x:c>
      <x:c r="D10" s="67" t="str">
        <x:v>Означает ли предварительное согласование автоматическое возмещение всей суммы?</x:v>
      </x:c>
      <x:c r="E10" s="67" t="str">
        <x:v>boolean</x:v>
      </x:c>
      <x:c r="F10" s="79" t="b">
        <x:v>0</x:v>
      </x:c>
      <x:c r="G10" s="67" t="str">
        <x:v>preapproval_not_final_reimbursement</x:v>
      </x:c>
      <x:c r="H10" s="67" t="str">
        <x:v>policy_01#2.6</x:v>
      </x:c>
      <x:c r="I10" s="67" t="str">
        <x:v>policy_01#7.1,7.6</x:v>
      </x:c>
      <x:c r="J10" s="67" t="str"/>
      <x:c r="K10" s="67" t="str"/>
      <x:c r="L10" s="67" t="str">
        <x:v>permission_vs_payment</x:v>
      </x:c>
      <x:c r="M10" s="79" t="b">
        <x:v>0</x:v>
      </x:c>
      <x:c r="N10" s="67" t="str">
        <x:v>Окончательное возмещение зависит от фактических обстоятельств, лимита и документов.</x:v>
      </x:c>
      <x:c r="O10" s="67" t="str">
        <x:v>valid</x:v>
      </x:c>
    </x:row>
    <x:row r="11" ht="58" customHeight="1">
      <x:c r="A11" s="67" t="str">
        <x:v>trip_001</x:v>
      </x:c>
      <x:c r="B11" s="67" t="str">
        <x:v>B</x:v>
      </x:c>
      <x:c r="C11" s="67" t="str">
        <x:v>Q10</x:v>
      </x:c>
      <x:c r="D11" s="67" t="str">
        <x:v>Какими были первоначальные даты командировки?</x:v>
      </x:c>
      <x:c r="E11" s="67" t="str">
        <x:v>date_range</x:v>
      </x:c>
      <x:c r="F11" s="67" t="str">
        <x:v>2026-09-15/2026-09-18</x:v>
      </x:c>
      <x:c r="G11" s="67" t="str">
        <x:v>original_trip_period</x:v>
      </x:c>
      <x:c r="H11" s="67" t="str">
        <x:v>trip_request#trip_dates; trip_order_241#1</x:v>
      </x:c>
      <x:c r="I11" s="67" t="str"/>
      <x:c r="J11" s="67" t="str"/>
      <x:c r="K11" s="67" t="str"/>
      <x:c r="L11" s="67" t="str">
        <x:v>cross_document_consistency</x:v>
      </x:c>
      <x:c r="M11" s="79" t="b">
        <x:v>0</x:v>
      </x:c>
      <x:c r="N11" s="67" t="str">
        <x:v>Заявка и первоначальный приказ совпадают.</x:v>
      </x:c>
      <x:c r="O11" s="67" t="str">
        <x:v>valid</x:v>
      </x:c>
    </x:row>
    <x:row r="12" ht="58" customHeight="1">
      <x:c r="A12" s="67" t="str">
        <x:v>trip_001</x:v>
      </x:c>
      <x:c r="B12" s="67" t="str">
        <x:v>B</x:v>
      </x:c>
      <x:c r="C12" s="67" t="str">
        <x:v>Q11</x:v>
      </x:c>
      <x:c r="D12" s="67" t="str">
        <x:v>Было ли продление одобрено работодателем до окончания первоначального срока?</x:v>
      </x:c>
      <x:c r="E12" s="67" t="str">
        <x:v>boolean</x:v>
      </x:c>
      <x:c r="F12" s="79" t="b">
        <x:v>1</x:v>
      </x:c>
      <x:c r="G12" s="67" t="str">
        <x:v>approved_in_time</x:v>
      </x:c>
      <x:c r="H12" s="67" t="str">
        <x:v>policy_01#4.1,4.4; sed_extension#final_decision</x:v>
      </x:c>
      <x:c r="I12" s="67" t="str">
        <x:v>trip_order_241#1; trip_order_249#basis</x:v>
      </x:c>
      <x:c r="J12" s="67" t="str">
        <x:v>17.09.2026 12:26 &lt; окончание 18.09.2026</x:v>
      </x:c>
      <x:c r="K12" s="67" t="str"/>
      <x:c r="L12" s="67" t="str">
        <x:v>decision_timing</x:v>
      </x:c>
      <x:c r="M12" s="79" t="b">
        <x:v>0</x:v>
      </x:c>
      <x:c r="N12" s="67" t="str">
        <x:v>Юридически значим момент — фиксация решения в СЭД, а не дата позднего приказа.</x:v>
      </x:c>
      <x:c r="O12" s="67" t="str">
        <x:v>valid</x:v>
      </x:c>
    </x:row>
    <x:row r="13" ht="58" customHeight="1">
      <x:c r="A13" s="67" t="str">
        <x:v>trip_001</x:v>
      </x:c>
      <x:c r="B13" s="67" t="str">
        <x:v>B</x:v>
      </x:c>
      <x:c r="C13" s="67" t="str">
        <x:v>Q12</x:v>
      </x:c>
      <x:c r="D13" s="67" t="str">
        <x:v>Подтверждено ли фактическое выполнение служебной задачи 19 сентября?</x:v>
      </x:c>
      <x:c r="E13" s="67" t="str">
        <x:v>boolean</x:v>
      </x:c>
      <x:c r="F13" s="79" t="b">
        <x:v>1</x:v>
      </x:c>
      <x:c r="G13" s="67" t="str">
        <x:v>presence_and_business_activity_confirmed</x:v>
      </x:c>
      <x:c r="H13" s="67" t="str">
        <x:v>meeting_protocol#date_time_participants_decisions</x:v>
      </x:c>
      <x:c r="I13" s="67" t="str">
        <x:v>transport_pack#taxi_1; transport_pack#return_flight; hotel_invoice#checkout</x:v>
      </x:c>
      <x:c r="J13" s="67" t="str"/>
      <x:c r="K13" s="67" t="str"/>
      <x:c r="L13" s="67" t="str">
        <x:v>presence_evidence</x:v>
      </x:c>
      <x:c r="M13" s="79" t="b">
        <x:v>0</x:v>
      </x:c>
      <x:c r="N13" s="67" t="str">
        <x:v>Протокол подтверждает не разрешение, а само выполнение работы у клиента.</x:v>
      </x:c>
      <x:c r="O13" s="67" t="str">
        <x:v>valid</x:v>
      </x:c>
    </x:row>
    <x:row r="14" ht="58" customHeight="1">
      <x:c r="A14" s="67" t="str">
        <x:v>trip_001</x:v>
      </x:c>
      <x:c r="B14" s="67" t="str">
        <x:v>B</x:v>
      </x:c>
      <x:c r="C14" s="67" t="str">
        <x:v>Q13</x:v>
      </x:c>
      <x:c r="D14" s="67" t="str">
        <x:v>Какая дата и время определяют момент принятия решения о продлении?</x:v>
      </x:c>
      <x:c r="E14" s="67" t="str">
        <x:v>datetime</x:v>
      </x:c>
      <x:c r="F14" s="67" t="str">
        <x:v>2026-09-17T12:26:00</x:v>
      </x:c>
      <x:c r="G14" s="67" t="str">
        <x:v>sed_final_decision_time</x:v>
      </x:c>
      <x:c r="H14" s="67" t="str">
        <x:v>policy_01#4.4-4.5; sed_extension#final_decision</x:v>
      </x:c>
      <x:c r="I14" s="67" t="str">
        <x:v>trip_order_249#basis</x:v>
      </x:c>
      <x:c r="J14" s="67" t="str"/>
      <x:c r="K14" s="67" t="str"/>
      <x:c r="L14" s="67" t="str">
        <x:v>decision_vs_formalization</x:v>
      </x:c>
      <x:c r="M14" s="79" t="b">
        <x:v>0</x:v>
      </x:c>
      <x:c r="N14" s="67" t="str">
        <x:v>Приказ от 21 сентября оформляет уже принятое 17 сентября решение.</x:v>
      </x:c>
      <x:c r="O14" s="67" t="str">
        <x:v>valid</x:v>
      </x:c>
    </x:row>
    <x:row r="15" ht="58" customHeight="1">
      <x:c r="A15" s="67" t="str">
        <x:v>trip_001</x:v>
      </x:c>
      <x:c r="B15" s="67" t="str">
        <x:v>B</x:v>
      </x:c>
      <x:c r="C15" s="67" t="str">
        <x:v>Q14</x:v>
      </x:c>
      <x:c r="D15" s="67" t="str">
        <x:v>Достаточно ли подтверждена первая поездка на такси?</x:v>
      </x:c>
      <x:c r="E15" s="67" t="str">
        <x:v>boolean</x:v>
      </x:c>
      <x:c r="F15" s="79" t="b">
        <x:v>1</x:v>
      </x:c>
      <x:c r="G15" s="67" t="str">
        <x:v>taxi_expense_supported</x:v>
      </x:c>
      <x:c r="H15" s="67" t="str">
        <x:v>policy_01#8.1; transport_pack#taxi_1</x:v>
      </x:c>
      <x:c r="I15" s="67" t="str">
        <x:v>meeting_protocol#location_and_purpose</x:v>
      </x:c>
      <x:c r="J15" s="67" t="str"/>
      <x:c r="K15" s="67" t="str"/>
      <x:c r="L15" s="67" t="str">
        <x:v>evidence_completeness</x:v>
      </x:c>
      <x:c r="M15" s="79" t="b">
        <x:v>0</x:v>
      </x:c>
      <x:c r="N15" s="67" t="str">
        <x:v>Есть оплата, полный маршрут и связь с проектом.</x:v>
      </x:c>
      <x:c r="O15" s="67" t="str">
        <x:v>valid</x:v>
      </x:c>
    </x:row>
    <x:row r="16" ht="58" customHeight="1">
      <x:c r="A16" s="67" t="str">
        <x:v>trip_001</x:v>
      </x:c>
      <x:c r="B16" s="67" t="str">
        <x:v>B</x:v>
      </x:c>
      <x:c r="C16" s="67" t="str">
        <x:v>Q15</x:v>
      </x:c>
      <x:c r="D16" s="67" t="str">
        <x:v>Достаточно ли подтверждена вторая поездка на такси?</x:v>
      </x:c>
      <x:c r="E16" s="67" t="str">
        <x:v>boolean</x:v>
      </x:c>
      <x:c r="F16" s="79" t="b">
        <x:v>0</x:v>
      </x:c>
      <x:c r="G16" s="67" t="str">
        <x:v>insufficient_information</x:v>
      </x:c>
      <x:c r="H16" s="67" t="str">
        <x:v>policy_01#8.1-8.3; transport_pack#taxi_2</x:v>
      </x:c>
      <x:c r="I16" s="67" t="str">
        <x:v>expense_report#taxi_2_review</x:v>
      </x:c>
      <x:c r="J16" s="67" t="str"/>
      <x:c r="K16" s="67" t="str">
        <x:v>destination_address; business_purpose_evidence</x:v>
      </x:c>
      <x:c r="L16" s="67" t="str">
        <x:v>abstention</x:v>
      </x:c>
      <x:c r="M16" s="79" t="b">
        <x:v>0</x:v>
      </x:c>
      <x:c r="N16" s="67" t="str">
        <x:v>Оплата и отправление подтверждены, но отсутствуют назначение и служебная цель.</x:v>
      </x:c>
      <x:c r="O16" s="67" t="str">
        <x:v>valid</x:v>
      </x:c>
    </x:row>
    <x:row r="17" ht="58" customHeight="1">
      <x:c r="A17" s="67" t="str">
        <x:v>trip_001</x:v>
      </x:c>
      <x:c r="B17" s="67" t="str">
        <x:v>B</x:v>
      </x:c>
      <x:c r="C17" s="67" t="str">
        <x:v>Q16</x:v>
      </x:c>
      <x:c r="D17" s="67" t="str">
        <x:v>Соблюдён ли срок подачи авансового отчёта?</x:v>
      </x:c>
      <x:c r="E17" s="67" t="str">
        <x:v>boolean</x:v>
      </x:c>
      <x:c r="F17" s="79" t="b">
        <x:v>1</x:v>
      </x:c>
      <x:c r="G17" s="67" t="str">
        <x:v>submitted_on_time</x:v>
      </x:c>
      <x:c r="H17" s="67" t="str">
        <x:v>policy_01#10.1-10.2; expense_report#submission_date</x:v>
      </x:c>
      <x:c r="I17" s="67" t="str">
        <x:v>transport_pack#return_flight</x:v>
      </x:c>
      <x:c r="J17" s="67" t="str">
        <x:v>Возвращение 19.09 (сб); рабочие дни: 21.09, 22.09, 23.09; подано 23.09</x:v>
      </x:c>
      <x:c r="K17" s="67" t="str"/>
      <x:c r="L17" s="67" t="str">
        <x:v>business_day_calculation</x:v>
      </x:c>
      <x:c r="M17" s="79" t="b">
        <x:v>0</x:v>
      </x:c>
      <x:c r="N17" s="67" t="str">
        <x:v>23 сентября — третий рабочий день после возвращения.</x:v>
      </x:c>
      <x:c r="O17" s="67" t="str">
        <x:v>valid</x:v>
      </x:c>
    </x:row>
    <x:row r="18" ht="58" customHeight="1">
      <x:c r="A18" s="67" t="str">
        <x:v>trip_001</x:v>
      </x:c>
      <x:c r="B18" s="67" t="str">
        <x:v>B</x:v>
      </x:c>
      <x:c r="C18" s="67" t="str">
        <x:v>Q17</x:v>
      </x:c>
      <x:c r="D18" s="67" t="str">
        <x:v>Каких сведений не хватает для окончательного признания спорного расхода по второй поездке на такси?</x:v>
      </x:c>
      <x:c r="E18" s="67" t="str">
        <x:v>code_set</x:v>
      </x:c>
      <x:c r="F18" s="67" t="str">
        <x:v>["destination_address", "business_purpose_evidence"]</x:v>
      </x:c>
      <x:c r="G18" s="67" t="str">
        <x:v>request_additional_documents</x:v>
      </x:c>
      <x:c r="H18" s="67" t="str">
        <x:v>policy_01#8.1-8.3; transport_pack#taxi_2; expense_report#taxi_2_note</x:v>
      </x:c>
      <x:c r="I18" s="67" t="str"/>
      <x:c r="J18" s="67" t="str"/>
      <x:c r="K18" s="67" t="str">
        <x:v>destination_address; business_purpose_evidence</x:v>
      </x:c>
      <x:c r="L18" s="67" t="str">
        <x:v>missing_information</x:v>
      </x:c>
      <x:c r="M18" s="79" t="b">
        <x:v>0</x:v>
      </x:c>
      <x:c r="N18" s="67" t="str">
        <x:v>Нельзя додумывать адрес назначения или деловую цель по времени и точке отправления.</x:v>
      </x:c>
      <x:c r="O18" s="67" t="str">
        <x:v>valid</x:v>
      </x:c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conditionalFormatting sqref="M2:M18">
    <x:cfRule type="expression" dxfId="3" priority="1">
      <x:formula>M2=TRUE</x:formula>
    </x:cfRule>
  </x:conditionalFormatting>
  <x:conditionalFormatting sqref="O2:O18">
    <x:cfRule type="expression" dxfId="4" priority="2">
      <x:formula>O2="valid"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6" hidden="0" customWidth="1"/>
    <x:col min="5" max="5" width="20" hidden="0" customWidth="1"/>
    <x:col min="6" max="6" width="70" hidden="0" customWidth="1"/>
  </x:cols>
  <x:sheetData>
    <x:row r="1" ht="44" customHeight="1">
      <x:c r="A1" s="78" t="str">
        <x:v>question_id</x:v>
      </x:c>
      <x:c r="B1" s="78" t="str">
        <x:v>answer_A</x:v>
      </x:c>
      <x:c r="C1" s="78" t="str">
        <x:v>answer_B</x:v>
      </x:c>
      <x:c r="D1" s="78" t="str">
        <x:v>must_flip</x:v>
      </x:c>
      <x:c r="E1" s="78" t="str">
        <x:v>expected_relation</x:v>
      </x:c>
      <x:c r="F1" s="78" t="str">
        <x:v>reason</x:v>
      </x:c>
      <x:c r="G1" s="65"/>
      <x:c r="H1" s="65"/>
      <x:c r="I1" s="65"/>
      <x:c r="J1" s="65"/>
      <x:c r="K1" s="65"/>
      <x:c r="L1" s="65"/>
      <x:c r="M1" s="65"/>
      <x:c r="N1" s="65"/>
      <x:c r="O1" s="65"/>
    </x:row>
    <x:row r="2" ht="44" customHeight="1">
      <x:c r="A2" s="67" t="str">
        <x:v>Q1</x:v>
      </x:c>
      <x:c r="B2" s="67" t="n">
        <x:v>9000</x:v>
      </x:c>
      <x:c r="C2" s="67" t="n">
        <x:v>9000</x:v>
      </x:c>
      <x:c r="D2" s="79" t="b">
        <x:v>0</x:v>
      </x:c>
      <x:c r="E2" s="67" t="str">
        <x:v>same</x:v>
      </x:c>
      <x:c r="F2" s="67" t="str">
        <x:v>Базовый лимит берётся из приложения 1; специальный приказ не отменяет само базовое правило.</x:v>
      </x:c>
      <x:c r="G2" s="65"/>
      <x:c r="H2" s="65"/>
      <x:c r="I2" s="65"/>
      <x:c r="J2" s="65"/>
      <x:c r="K2" s="65"/>
      <x:c r="L2" s="65"/>
      <x:c r="M2" s="65"/>
      <x:c r="N2" s="65"/>
      <x:c r="O2" s="65"/>
    </x:row>
    <x:row r="3" ht="44" customHeight="1">
      <x:c r="A3" s="67" t="str">
        <x:v>Q2</x:v>
      </x:c>
      <x:c r="B3" s="67" t="n">
        <x:v>12000</x:v>
      </x:c>
      <x:c r="C3" s="67" t="n">
        <x:v>12000</x:v>
      </x:c>
      <x:c r="D3" s="79" t="b">
        <x:v>0</x:v>
      </x:c>
      <x:c r="E3" s="67" t="str">
        <x:v>same</x:v>
      </x:c>
      <x:c r="F3" s="67" t="str">
        <x:v>В обеих версиях размер лимита одинаков; меняется только конечная дата периода.</x:v>
      </x:c>
      <x:c r="G3" s="65"/>
      <x:c r="H3" s="65"/>
      <x:c r="I3" s="65"/>
      <x:c r="J3" s="65"/>
      <x:c r="K3" s="65"/>
      <x:c r="L3" s="65"/>
      <x:c r="M3" s="65"/>
      <x:c r="N3" s="65"/>
      <x:c r="O3" s="65"/>
    </x:row>
    <x:row r="4" ht="44" customHeight="1">
      <x:c r="A4" s="67" t="str">
        <x:v>Q3</x:v>
      </x:c>
      <x:c r="B4" s="67" t="str">
        <x:v>&gt;10000</x:v>
      </x:c>
      <x:c r="C4" s="67" t="str">
        <x:v>&gt;10000</x:v>
      </x:c>
      <x:c r="D4" s="79" t="b">
        <x:v>0</x:v>
      </x:c>
      <x:c r="E4" s="67" t="str">
        <x:v>same</x:v>
      </x:c>
      <x:c r="F4" s="67" t="str">
        <x:v>Проверка начинается только при превышении 10 000 руб., а не при равенстве.</x:v>
      </x:c>
      <x:c r="G4" s="65"/>
      <x:c r="H4" s="65"/>
      <x:c r="I4" s="65"/>
      <x:c r="J4" s="65"/>
      <x:c r="K4" s="65"/>
      <x:c r="L4" s="65"/>
      <x:c r="M4" s="65"/>
      <x:c r="N4" s="65"/>
      <x:c r="O4" s="65"/>
    </x:row>
    <x:row r="5" ht="44" customHeight="1">
      <x:c r="A5" s="67" t="str">
        <x:v>Q4</x:v>
      </x:c>
      <x:c r="B5" s="79" t="b">
        <x:v>0</x:v>
      </x:c>
      <x:c r="C5" s="79" t="b">
        <x:v>0</x:v>
      </x:c>
      <x:c r="D5" s="79" t="b">
        <x:v>0</x:v>
      </x:c>
      <x:c r="E5" s="67" t="str">
        <x:v>same</x:v>
      </x:c>
      <x:c r="F5" s="67" t="str">
        <x:v>10 000 руб. — контрольный порог; применимый лимит определяется Положением и приказом.</x:v>
      </x:c>
      <x:c r="G5" s="65"/>
      <x:c r="H5" s="65"/>
      <x:c r="I5" s="65"/>
      <x:c r="J5" s="65"/>
      <x:c r="K5" s="65"/>
      <x:c r="L5" s="65"/>
      <x:c r="M5" s="65"/>
      <x:c r="N5" s="65"/>
      <x:c r="O5" s="65"/>
    </x:row>
    <x:row r="6" ht="44" customHeight="1">
      <x:c r="A6" s="67" t="str">
        <x:v>Q5</x:v>
      </x:c>
      <x:c r="B6" s="67" t="n">
        <x:v>4</x:v>
      </x:c>
      <x:c r="C6" s="67" t="n">
        <x:v>4</x:v>
      </x:c>
      <x:c r="D6" s="79" t="b">
        <x:v>0</x:v>
      </x:c>
      <x:c r="E6" s="67" t="str">
        <x:v>same</x:v>
      </x:c>
      <x:c r="F6" s="67" t="str">
        <x:v>Каждая строка гостиничного счёта соответствует одной ночи.</x:v>
      </x:c>
      <x:c r="G6" s="65"/>
      <x:c r="H6" s="65"/>
      <x:c r="I6" s="65"/>
      <x:c r="J6" s="65"/>
      <x:c r="K6" s="65"/>
      <x:c r="L6" s="65"/>
      <x:c r="M6" s="65"/>
      <x:c r="N6" s="65"/>
      <x:c r="O6" s="65"/>
    </x:row>
    <x:row r="7" ht="44" customHeight="1">
      <x:c r="A7" s="67" t="str">
        <x:v>Q6</x:v>
      </x:c>
      <x:c r="B7" s="67" t="n">
        <x:v>48000</x:v>
      </x:c>
      <x:c r="C7" s="67" t="n">
        <x:v>45000</x:v>
      </x:c>
      <x:c r="D7" s="79" t="b">
        <x:v>1</x:v>
      </x:c>
      <x:c r="E7" s="67" t="str">
        <x:v>different</x:v>
      </x:c>
      <x:c r="F7" s="67" t="str">
        <x:v>Применимость лимита определяется датой выезда, указанной для каждой ночи.</x:v>
      </x:c>
      <x:c r="G7" s="65"/>
      <x:c r="H7" s="65"/>
      <x:c r="I7" s="65"/>
      <x:c r="J7" s="65"/>
      <x:c r="K7" s="65"/>
      <x:c r="L7" s="65"/>
      <x:c r="M7" s="65"/>
      <x:c r="N7" s="65"/>
      <x:c r="O7" s="65"/>
    </x:row>
    <x:row r="8" ht="44" customHeight="1">
      <x:c r="A8" s="67" t="str">
        <x:v>Q7</x:v>
      </x:c>
      <x:c r="B8" s="67" t="n">
        <x:v>45600</x:v>
      </x:c>
      <x:c r="C8" s="67" t="n">
        <x:v>43200</x:v>
      </x:c>
      <x:c r="D8" s="79" t="b">
        <x:v>1</x:v>
      </x:c>
      <x:c r="E8" s="67" t="str">
        <x:v>different</x:v>
      </x:c>
      <x:c r="F8" s="67" t="str">
        <x:v>В A фактическая стоимость ниже лимита всех ночей; в B четвёртая ночь ограничена базовыми 9 000 руб.</x:v>
      </x:c>
      <x:c r="G8" s="65"/>
      <x:c r="H8" s="65"/>
      <x:c r="I8" s="65"/>
      <x:c r="J8" s="65"/>
      <x:c r="K8" s="65"/>
      <x:c r="L8" s="65"/>
      <x:c r="M8" s="65"/>
      <x:c r="N8" s="65"/>
      <x:c r="O8" s="65"/>
    </x:row>
    <x:row r="9" ht="44" customHeight="1">
      <x:c r="A9" s="67" t="str">
        <x:v>Q8</x:v>
      </x:c>
      <x:c r="B9" s="79" t="b">
        <x:v>1</x:v>
      </x:c>
      <x:c r="C9" s="79" t="b">
        <x:v>1</x:v>
      </x:c>
      <x:c r="D9" s="79" t="b">
        <x:v>0</x:v>
      </x:c>
      <x:c r="E9" s="67" t="str">
        <x:v>same</x:v>
      </x:c>
      <x:c r="F9" s="67" t="str">
        <x:v>Заявка прямо содержит 3 ночи по 11 400 руб. и ссылку на приказ № 86-ОД.</x:v>
      </x:c>
      <x:c r="G9" s="65"/>
      <x:c r="H9" s="65"/>
      <x:c r="I9" s="65"/>
      <x:c r="J9" s="65"/>
      <x:c r="K9" s="65"/>
      <x:c r="L9" s="65"/>
      <x:c r="M9" s="65"/>
      <x:c r="N9" s="65"/>
      <x:c r="O9" s="65"/>
    </x:row>
    <x:row r="10" ht="44" customHeight="1">
      <x:c r="A10" s="67" t="str">
        <x:v>Q9</x:v>
      </x:c>
      <x:c r="B10" s="79" t="b">
        <x:v>0</x:v>
      </x:c>
      <x:c r="C10" s="79" t="b">
        <x:v>0</x:v>
      </x:c>
      <x:c r="D10" s="79" t="b">
        <x:v>0</x:v>
      </x:c>
      <x:c r="E10" s="67" t="str">
        <x:v>same</x:v>
      </x:c>
      <x:c r="F10" s="67" t="str">
        <x:v>Окончательное возмещение зависит от фактических обстоятельств, лимита и документов.</x:v>
      </x:c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 ht="44" customHeight="1">
      <x:c r="A11" s="67" t="str">
        <x:v>Q10</x:v>
      </x:c>
      <x:c r="B11" s="67" t="str">
        <x:v>2026-09-15/2026-09-18</x:v>
      </x:c>
      <x:c r="C11" s="67" t="str">
        <x:v>2026-09-15/2026-09-18</x:v>
      </x:c>
      <x:c r="D11" s="79" t="b">
        <x:v>0</x:v>
      </x:c>
      <x:c r="E11" s="67" t="str">
        <x:v>same</x:v>
      </x:c>
      <x:c r="F11" s="67" t="str">
        <x:v>Заявка и первоначальный приказ совпадают.</x:v>
      </x:c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 ht="44" customHeight="1">
      <x:c r="A12" s="67" t="str">
        <x:v>Q11</x:v>
      </x:c>
      <x:c r="B12" s="79" t="b">
        <x:v>1</x:v>
      </x:c>
      <x:c r="C12" s="79" t="b">
        <x:v>1</x:v>
      </x:c>
      <x:c r="D12" s="79" t="b">
        <x:v>0</x:v>
      </x:c>
      <x:c r="E12" s="67" t="str">
        <x:v>same</x:v>
      </x:c>
      <x:c r="F12" s="67" t="str">
        <x:v>Юридически значим момент — фиксация решения в СЭД, а не дата позднего приказа.</x:v>
      </x:c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 ht="44" customHeight="1">
      <x:c r="A13" s="67" t="str">
        <x:v>Q12</x:v>
      </x:c>
      <x:c r="B13" s="79" t="b">
        <x:v>1</x:v>
      </x:c>
      <x:c r="C13" s="79" t="b">
        <x:v>1</x:v>
      </x:c>
      <x:c r="D13" s="79" t="b">
        <x:v>0</x:v>
      </x:c>
      <x:c r="E13" s="67" t="str">
        <x:v>same</x:v>
      </x:c>
      <x:c r="F13" s="67" t="str">
        <x:v>Протокол подтверждает не разрешение, а само выполнение работы у клиента.</x:v>
      </x:c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 ht="44" customHeight="1">
      <x:c r="A14" s="67" t="str">
        <x:v>Q13</x:v>
      </x:c>
      <x:c r="B14" s="67" t="str">
        <x:v>2026-09-17T12:26:00</x:v>
      </x:c>
      <x:c r="C14" s="67" t="str">
        <x:v>2026-09-17T12:26:00</x:v>
      </x:c>
      <x:c r="D14" s="79" t="b">
        <x:v>0</x:v>
      </x:c>
      <x:c r="E14" s="67" t="str">
        <x:v>same</x:v>
      </x:c>
      <x:c r="F14" s="67" t="str">
        <x:v>Приказ от 21 сентября оформляет уже принятое 17 сентября решение.</x:v>
      </x:c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 ht="44" customHeight="1">
      <x:c r="A15" s="67" t="str">
        <x:v>Q14</x:v>
      </x:c>
      <x:c r="B15" s="79" t="b">
        <x:v>1</x:v>
      </x:c>
      <x:c r="C15" s="79" t="b">
        <x:v>1</x:v>
      </x:c>
      <x:c r="D15" s="79" t="b">
        <x:v>0</x:v>
      </x:c>
      <x:c r="E15" s="67" t="str">
        <x:v>same</x:v>
      </x:c>
      <x:c r="F15" s="67" t="str">
        <x:v>Есть оплата, полный маршрут и связь с проектом.</x:v>
      </x:c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 ht="44" customHeight="1">
      <x:c r="A16" s="67" t="str">
        <x:v>Q15</x:v>
      </x:c>
      <x:c r="B16" s="79" t="b">
        <x:v>0</x:v>
      </x:c>
      <x:c r="C16" s="79" t="b">
        <x:v>0</x:v>
      </x:c>
      <x:c r="D16" s="79" t="b">
        <x:v>0</x:v>
      </x:c>
      <x:c r="E16" s="67" t="str">
        <x:v>same</x:v>
      </x:c>
      <x:c r="F16" s="67" t="str">
        <x:v>Оплата и отправление подтверждены, но отсутствуют назначение и служебная цель.</x:v>
      </x:c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 ht="44" customHeight="1">
      <x:c r="A17" s="67" t="str">
        <x:v>Q16</x:v>
      </x:c>
      <x:c r="B17" s="79" t="b">
        <x:v>1</x:v>
      </x:c>
      <x:c r="C17" s="79" t="b">
        <x:v>1</x:v>
      </x:c>
      <x:c r="D17" s="79" t="b">
        <x:v>0</x:v>
      </x:c>
      <x:c r="E17" s="67" t="str">
        <x:v>same</x:v>
      </x:c>
      <x:c r="F17" s="67" t="str">
        <x:v>23 сентября — третий рабочий день после возвращения.</x:v>
      </x:c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 ht="44" customHeight="1">
      <x:c r="A18" s="67" t="str">
        <x:v>Q17</x:v>
      </x:c>
      <x:c r="B18" s="67" t="str">
        <x:v>["destination_address", "business_purpose_evidence"]</x:v>
      </x:c>
      <x:c r="C18" s="67" t="str">
        <x:v>["destination_address", "business_purpose_evidence"]</x:v>
      </x:c>
      <x:c r="D18" s="79" t="b">
        <x:v>0</x:v>
      </x:c>
      <x:c r="E18" s="67" t="str">
        <x:v>same</x:v>
      </x:c>
      <x:c r="F18" s="67" t="str">
        <x:v>Нельзя додумывать адрес назначения или деловую цель по времени и точке отправления.</x:v>
      </x:c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conditionalFormatting sqref="D2:D18">
    <x:cfRule type="expression" dxfId="5" priority="1">
      <x:formula>D2=TRUE</x:formula>
    </x:cfRule>
  </x:conditionalFormatting>
  <x:conditionalFormatting sqref="E2:E18">
    <x:cfRule type="expression" dxfId="6" priority="2">
      <x:formula>E2="different"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38" hidden="0" customWidth="1"/>
    <x:col min="4" max="4" width="54" hidden="0" customWidth="1"/>
    <x:col min="5" max="5" width="78" hidden="0" customWidth="1"/>
  </x:cols>
  <x:sheetData>
    <x:row r="1" ht="44" customHeight="1">
      <x:c r="A1" s="86" t="str">
        <x:v>doc_id</x:v>
      </x:c>
      <x:c r="B1" s="86" t="str">
        <x:v>file_name</x:v>
      </x:c>
      <x:c r="C1" s="86" t="str">
        <x:v>drive_id</x:v>
      </x:c>
      <x:c r="D1" s="86" t="str">
        <x:v>role</x:v>
      </x:c>
      <x:c r="E1" s="86" t="str">
        <x:v>source_url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 ht="44" customHeight="1">
      <x:c r="A2" s="67" t="str">
        <x:v>policy_01</x:v>
      </x:c>
      <x:c r="B2" s="67" t="str">
        <x:v>01_Положение_о_служебных_командировках_ЛНА-07-2026_финал.docx</x:v>
      </x:c>
      <x:c r="C2" s="67" t="str">
        <x:v>1ZeGm8E9uEoMNugnaMVeRURskigTvfAgY</x:v>
      </x:c>
      <x:c r="D2" s="67" t="str">
        <x:v>Общее правило, иерархия, лимиты, доказательства, сроки отчёта</x:v>
      </x:c>
      <x:c r="E2" s="67" t="str">
        <x:v>https://docs.google.com/document/d/1ZeGm8E9uEoMNugnaMVeRURskigTvfAgY/edit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 ht="44" customHeight="1">
      <x:c r="A3" s="67" t="str">
        <x:v>order_86_A</x:v>
      </x:c>
      <x:c r="B3" s="67" t="str">
        <x:v>02_Приказ_86-ОД_версия_A.docx</x:v>
      </x:c>
      <x:c r="C3" s="67" t="str">
        <x:v>12dyYie6PCHUFlm3cTcYnuv7Ui6zMUN_F</x:v>
      </x:c>
      <x:c r="D3" s="67" t="str">
        <x:v>Специальный лимит 12 000 руб.; даты выезда 14–20 сентября</x:v>
      </x:c>
      <x:c r="E3" s="67" t="str">
        <x:v>https://docs.google.com/document/d/12dyYie6PCHUFlm3cTcYnuv7Ui6zMUN_F/edit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</x:row>
    <x:row r="4" ht="44" customHeight="1">
      <x:c r="A4" s="67" t="str">
        <x:v>order_86_B</x:v>
      </x:c>
      <x:c r="B4" s="67" t="str">
        <x:v>03_Приказ_86-ОД_версия_B.docx</x:v>
      </x:c>
      <x:c r="C4" s="67" t="str">
        <x:v>1GB_DnC96O2ez7YCI319QWM_J8PDxuEDr</x:v>
      </x:c>
      <x:c r="D4" s="67" t="str">
        <x:v>Специальный лимит 12 000 руб.; даты выезда 14–18 сентября</x:v>
      </x:c>
      <x:c r="E4" s="67" t="str">
        <x:v>https://docs.google.com/document/d/1GB_DnC96O2ez7YCI319QWM_J8PDxuEDr/edit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44" customHeight="1">
      <x:c r="A5" s="67" t="str">
        <x:v>finance_memo</x:v>
      </x:c>
      <x:c r="B5" s="67" t="str">
        <x:v>04_Служебная_записка_финансового_директора_ФД-12-26.docx</x:v>
      </x:c>
      <x:c r="C5" s="67" t="str">
        <x:v>1jpzxDoBiNQJOGrH4qO8L6jPSabbt_NlW</x:v>
      </x:c>
      <x:c r="D5" s="67" t="str">
        <x:v>Дополнительная проверка расходов свыше 10 000 руб. за ночь</x:v>
      </x:c>
      <x:c r="E5" s="67" t="str">
        <x:v>https://docs.google.com/document/d/1jpzxDoBiNQJOGrH4qO8L6jPSabbt_NlW/edit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</x:row>
    <x:row r="6" ht="44" customHeight="1">
      <x:c r="A6" s="67" t="str">
        <x:v>trip_request</x:v>
      </x:c>
      <x:c r="B6" s="67" t="str">
        <x:v>05_Заявка_на_командировку_КМ-2026-0148.docx</x:v>
      </x:c>
      <x:c r="C6" s="67" t="str">
        <x:v>1ZyvYZLwAeJXr2hxUDeHrLDp2JufKufcf</x:v>
      </x:c>
      <x:c r="D6" s="67" t="str">
        <x:v>Предварительное согласование, первоначальные даты и план расходов</x:v>
      </x:c>
      <x:c r="E6" s="67" t="str">
        <x:v>https://docs.google.com/document/d/1ZyvYZLwAeJXr2hxUDeHrLDp2JufKufcf/edit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</x:row>
    <x:row r="7" ht="44" customHeight="1">
      <x:c r="A7" s="67" t="str">
        <x:v>trip_order_241</x:v>
      </x:c>
      <x:c r="B7" s="67" t="str">
        <x:v>06_Приказ_241-К_о_направлении_в_командировку.docx</x:v>
      </x:c>
      <x:c r="C7" s="67" t="str">
        <x:v>1I_oyMe6XqMbGOTc1RhalCjDrtaiP5XdL</x:v>
      </x:c>
      <x:c r="D7" s="67" t="str">
        <x:v>Первоначальный срок и цель командировки</x:v>
      </x:c>
      <x:c r="E7" s="67" t="str">
        <x:v>https://docs.google.com/document/d/1I_oyMe6XqMbGOTc1RhalCjDrtaiP5XdL/edit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</x:row>
    <x:row r="8" ht="44" customHeight="1">
      <x:c r="A8" s="67" t="str">
        <x:v>sed_extension</x:v>
      </x:c>
      <x:c r="B8" s="67" t="str">
        <x:v>07_Выгрузка_СЭД_Запрос_на_продление_командировки.docx</x:v>
      </x:c>
      <x:c r="C8" s="67" t="str">
        <x:v>1q1v8nuDiIPvweck6ErWfL2YgHoa84e5C</x:v>
      </x:c>
      <x:c r="D8" s="67" t="str">
        <x:v>Своевременное решение о продлении 17.09.2026 в 12:26</x:v>
      </x:c>
      <x:c r="E8" s="67" t="str">
        <x:v>https://docs.google.com/document/d/1q1v8nuDiIPvweck6ErWfL2YgHoa84e5C/edit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</x:row>
    <x:row r="9" ht="44" customHeight="1">
      <x:c r="A9" s="67" t="str">
        <x:v>trip_order_249</x:v>
      </x:c>
      <x:c r="B9" s="67" t="str">
        <x:v>08_Приказ_249-К_об_изменении_срока_командировки.docx</x:v>
      </x:c>
      <x:c r="C9" s="67" t="str">
        <x:v>1HeIF6QbQILFcLW-V2hTM2eJNe3vnDY4K</x:v>
      </x:c>
      <x:c r="D9" s="67" t="str">
        <x:v>Кадровое оформление ранее принятого решения</x:v>
      </x:c>
      <x:c r="E9" s="67" t="str">
        <x:v>https://docs.google.com/document/d/1HeIF6QbQILFcLW-V2hTM2eJNe3vnDY4K/edit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</x:row>
    <x:row r="10" ht="44" customHeight="1">
      <x:c r="A10" s="67" t="str">
        <x:v>hotel_invoice</x:v>
      </x:c>
      <x:c r="B10" s="67" t="str">
        <x:v>09_Счет_гостиницы_Казанский_двор_КД-1909-458.docx</x:v>
      </x:c>
      <x:c r="C10" s="67" t="str">
        <x:v>18u0h3qwyMA28_JEfF-72FKrYSBHGQpgZ</x:v>
      </x:c>
      <x:c r="D10" s="67" t="str">
        <x:v>Четыре ночи, даты выезда и стоимость 45 600 руб.</x:v>
      </x:c>
      <x:c r="E10" s="67" t="str">
        <x:v>https://docs.google.com/document/d/18u0h3qwyMA28_JEfF-72FKrYSBHGQpgZ/edit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 ht="44" customHeight="1">
      <x:c r="A11" s="67" t="str">
        <x:v>hotel_payment</x:v>
      </x:c>
      <x:c r="B11" s="67" t="str">
        <x:v>10_Подтверждение_оплаты_гостиницы_КД-1909-458.docx</x:v>
      </x:c>
      <x:c r="C11" s="67" t="str">
        <x:v>1PRZ9OTdEMgx6N5PsGSPaMXOBsTtMabaT</x:v>
      </x:c>
      <x:c r="D11" s="67" t="str">
        <x:v>Подтверждение оплаты 45 600 руб.</x:v>
      </x:c>
      <x:c r="E11" s="67" t="str">
        <x:v>https://docs.google.com/document/d/1PRZ9OTdEMgx6N5PsGSPaMXOBsTtMabaT/edit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 ht="44" customHeight="1">
      <x:c r="A12" s="67" t="str">
        <x:v>transport_pack</x:v>
      </x:c>
      <x:c r="B12" s="67" t="str">
        <x:v>11_Пакет_транспортных_документов.docx</x:v>
      </x:c>
      <x:c r="C12" s="67" t="str">
        <x:v>15wGAzrAenFKMGyGJ0O7rmGqQMP-7dsDX</x:v>
      </x:c>
      <x:c r="D12" s="67" t="str">
        <x:v>Изменённый билет и два чека такси</x:v>
      </x:c>
      <x:c r="E12" s="67" t="str">
        <x:v>https://docs.google.com/document/d/15wGAzrAenFKMGyGJ0O7rmGqQMP-7dsDX/edit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 ht="44" customHeight="1">
      <x:c r="A13" s="67" t="str">
        <x:v>meeting_protocol</x:v>
      </x:c>
      <x:c r="B13" s="67" t="str">
        <x:v>12_Протокол_встречи_19_сентября_2026_исправленный.docx</x:v>
      </x:c>
      <x:c r="C13" s="67" t="str">
        <x:v>1NUvDlGy0eibLp0JHQvw8FJHQD_mJGj2b</x:v>
      </x:c>
      <x:c r="D13" s="67" t="str">
        <x:v>Фактическое выполнение служебной задачи 19 сентября</x:v>
      </x:c>
      <x:c r="E13" s="67" t="str">
        <x:v>https://docs.google.com/document/d/1NUvDlGy0eibLp0JHQvw8FJHQD_mJGj2b/edit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 ht="44" customHeight="1">
      <x:c r="A14" s="67" t="str">
        <x:v>expense_report</x:v>
      </x:c>
      <x:c r="B14" s="67" t="str">
        <x:v>13_Авансовый_отчёт_АО-2026-09123_исправленный.docx</x:v>
      </x:c>
      <x:c r="C14" s="67" t="str">
        <x:v>1LaJL9lysO33puEQnzpuF9JMjzemY6hic</x:v>
      </x:c>
      <x:c r="D14" s="67" t="str">
        <x:v>Дата подачи и корректный свод расходов после устранения QA-ошибок</x:v>
      </x:c>
      <x:c r="E14" s="67" t="str">
        <x:v>https://docs.google.com/document/d/1LaJL9lysO33puEQnzpuF9JMjzemY6hic/edit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46" hidden="0" customWidth="1"/>
    <x:col min="4" max="4" width="42" hidden="0" customWidth="1"/>
  </x:cols>
  <x:sheetData>
    <x:row r="1" ht="48" customHeight="1">
      <x:c r="A1" s="86" t="str">
        <x:v>answer_type</x:v>
      </x:c>
      <x:c r="B1" s="86" t="str">
        <x:v>normalization_rule</x:v>
      </x:c>
      <x:c r="C1" s="86" t="str">
        <x:v>accepted_examples</x:v>
      </x:c>
      <x:c r="D1" s="86" t="str">
        <x:v>rejected_examples</x:v>
      </x:c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 ht="48" customHeight="1">
      <x:c r="A2" s="67" t="str">
        <x:v>money</x:v>
      </x:c>
      <x:c r="B2" s="67" t="str">
        <x:v>Удалить пробелы, валюту и разделители тысяч; сравнить числовое значение с точностью до копеек.</x:v>
      </x:c>
      <x:c r="C2" s="67" t="str">
        <x:v>45 600 руб.; 45600; 45 600,00</x:v>
      </x:c>
      <x:c r="D2" s="67" t="str">
        <x:v>48 000 для Q7-A</x:v>
      </x:c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 ht="48" customHeight="1">
      <x:c r="A3" s="67" t="str">
        <x:v>integer</x:v>
      </x:c>
      <x:c r="B3" s="67" t="str">
        <x:v>Извлечь целое число.</x:v>
      </x:c>
      <x:c r="C3" s="67" t="str">
        <x:v>4; четыре ночи</x:v>
      </x:c>
      <x:c r="D3" s="67" t="str">
        <x:v>3–4</x:v>
      </x:c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</x:row>
    <x:row r="4" ht="48" customHeight="1">
      <x:c r="A4" s="67" t="str">
        <x:v>boolean</x:v>
      </x:c>
      <x:c r="B4" s="67" t="str">
        <x:v>Привести да/нет, true/false и однозначные эквиваленты к boolean.</x:v>
      </x:c>
      <x:c r="C4" s="67" t="str">
        <x:v>да; подтверждено; true</x:v>
      </x:c>
      <x:c r="D4" s="67" t="str">
        <x:v>вероятно; скорее да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48" customHeight="1">
      <x:c r="A5" s="67" t="str">
        <x:v>threshold</x:v>
      </x:c>
      <x:c r="B5" s="67" t="str">
        <x:v>Сохранить знак сравнения; «свыше» = &gt;, а не ≥.</x:v>
      </x:c>
      <x:c r="C5" s="67" t="str">
        <x:v>&gt;10000; свыше 10 000</x:v>
      </x:c>
      <x:c r="D5" s="67" t="str">
        <x:v>≥10000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</x:row>
    <x:row r="6" ht="48" customHeight="1">
      <x:c r="A6" s="67" t="str">
        <x:v>date_range</x:v>
      </x:c>
      <x:c r="B6" s="67" t="str">
        <x:v>ISO: YYYY-MM-DD/YYYY-MM-DD.</x:v>
      </x:c>
      <x:c r="C6" s="67" t="str">
        <x:v>2026-09-15/2026-09-18</x:v>
      </x:c>
      <x:c r="D6" s="67" t="str">
        <x:v>15–19 сентября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</x:row>
    <x:row r="7" ht="48" customHeight="1">
      <x:c r="A7" s="67" t="str">
        <x:v>datetime</x:v>
      </x:c>
      <x:c r="B7" s="67" t="str">
        <x:v>ISO 8601 без часового пояса, если в документах он не указан.</x:v>
      </x:c>
      <x:c r="C7" s="67" t="str">
        <x:v>2026-09-17T12:26:00</x:v>
      </x:c>
      <x:c r="D7" s="67" t="str">
        <x:v>2026-09-21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</x:row>
    <x:row r="8" ht="48" customHeight="1">
      <x:c r="A8" s="67" t="str">
        <x:v>code_set</x:v>
      </x:c>
      <x:c r="B8" s="67" t="str">
        <x:v>Порядок кодов не важен; сравнивать как множество.</x:v>
      </x:c>
      <x:c r="C8" s="67" t="str">
        <x:v>[destination_address, business_purpose_evidence]</x:v>
      </x:c>
      <x:c r="D8" s="67" t="str">
        <x:v>payment_evidence</x:v>
      </x:c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</x:row>
    <x:row r="9" ht="48" customHeight="1">
      <x:c r="A9" s="67" t="str">
        <x:v>evidence</x:v>
      </x:c>
      <x:c r="B9" s="67" t="str">
        <x:v>Обязательные evidence locators должны входить в ответ; лишняя конфликтная ссылка штрафуется.</x:v>
      </x:c>
      <x:c r="C9" s="67" t="str">
        <x:v>policy_01#2.6</x:v>
      </x:c>
      <x:c r="D9" s="67" t="str">
        <x:v>finance_memo как лимит</x:v>
      </x:c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</x:row>
    <x:row r="10" ht="48" customHeight="1">
      <x:c r="A10" s="67" t="str">
        <x:v>abstention</x:v>
      </x:c>
      <x:c r="B10" s="67" t="str">
        <x:v>Недостаточность данных — самостоятельный правильный класс решения.</x:v>
      </x:c>
      <x:c r="C10" s="67" t="str">
        <x:v>insufficient_information</x:v>
      </x:c>
      <x:c r="D10" s="67" t="str">
        <x:v>выдуманный адрес назначения</x:v>
      </x:c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68" hidden="0" customWidth="1"/>
    <x:col min="5" max="5" width="48" hidden="0" customWidth="1"/>
    <x:col min="6" max="6" width="58" hidden="0" customWidth="1"/>
    <x:col min="7" max="7" width="54" hidden="0" customWidth="1"/>
    <x:col min="8" max="8" width="18" hidden="0" customWidth="1"/>
    <x:col min="9" max="9" width="20" hidden="0" customWidth="1"/>
    <x:col min="10" max="10" width="62" hidden="0" customWidth="1"/>
  </x:cols>
  <x:sheetData>
    <x:row r="1" ht="62" customHeight="1">
      <x:c r="A1" s="90" t="str">
        <x:v>severity</x:v>
      </x:c>
      <x:c r="B1" s="90" t="str">
        <x:v>issue_id</x:v>
      </x:c>
      <x:c r="C1" s="90" t="str">
        <x:v>documents</x:v>
      </x:c>
      <x:c r="D1" s="90" t="str">
        <x:v>finding</x:v>
      </x:c>
      <x:c r="E1" s="90" t="str">
        <x:v>correct_value</x:v>
      </x:c>
      <x:c r="F1" s="90" t="str">
        <x:v>impact</x:v>
      </x:c>
      <x:c r="G1" s="90" t="str">
        <x:v>required_action</x:v>
      </x:c>
      <x:c r="H1" s="90" t="str">
        <x:v>release_blocker</x:v>
      </x:c>
      <x:c r="I1" s="110" t="str">
        <x:v>resolution_status</x:v>
      </x:c>
      <x:c r="J1" s="110" t="str">
        <x:v>resolution_note</x:v>
      </x:c>
      <x:c r="K1" s="65"/>
      <x:c r="L1" s="65"/>
      <x:c r="M1" s="65"/>
      <x:c r="N1" s="65"/>
      <x:c r="O1" s="65"/>
    </x:row>
    <x:row r="2" ht="62" customHeight="1">
      <x:c r="A2" s="67" t="str">
        <x:v>CRITICAL</x:v>
      </x:c>
      <x:c r="B2" s="67" t="str">
        <x:v>QA-001</x:v>
      </x:c>
      <x:c r="C2" s="67" t="str">
        <x:v>policy_01; trip_request; expense_report</x:v>
      </x:c>
      <x:c r="D2" s="67" t="str">
        <x:v>Суточные в Положении и заявке составляют 1 000 руб. в день, но в авансовом отчёте указано 700 руб. в день.</x:v>
      </x:c>
      <x:c r="E2" s="67" t="str">
        <x:v>5 дней × 1 000 = 5 000 руб.</x:v>
      </x:c>
      <x:c r="F2" s="67" t="str">
        <x:v>Итоги авансового отчёта занижены на 1 500 руб.</x:v>
      </x:c>
      <x:c r="G2" s="67" t="str">
        <x:v>Исправить строку суточных и итоговые суммы до публичного релиза.</x:v>
      </x:c>
      <x:c r="H2" s="79" t="b">
        <x:v>0</x:v>
      </x:c>
      <x:c r="I2" s="107" t="str">
        <x:v>RESOLVED</x:v>
      </x:c>
      <x:c r="J2" s="67" t="str">
        <x:v>Ставка суточных исправлена на 1 000 руб.; итог 5 000 руб.</x:v>
      </x:c>
      <x:c r="K2" s="65"/>
      <x:c r="L2" s="65"/>
      <x:c r="M2" s="65"/>
      <x:c r="N2" s="65"/>
      <x:c r="O2" s="65"/>
    </x:row>
    <x:row r="3" ht="62" customHeight="1">
      <x:c r="A3" s="67" t="str">
        <x:v>CRITICAL</x:v>
      </x:c>
      <x:c r="B3" s="67" t="str">
        <x:v>QA-002</x:v>
      </x:c>
      <x:c r="C3" s="67" t="str">
        <x:v>expense_report</x:v>
      </x:c>
      <x:c r="D3" s="67" t="str">
        <x:v>Из-за ошибочной ставки суточных заявлено 56 120 руб., принято 55 140 руб., доплата 5 140 руб.</x:v>
      </x:c>
      <x:c r="E3" s="67" t="str">
        <x:v>Заявлено 57 620 руб.; принято 56 640 руб.; доплата 6 640 руб.; спорно 980 руб.</x:v>
      </x:c>
      <x:c r="F3" s="67" t="str">
        <x:v>Модель, правильно применившая Положение, будет расходиться с бухгалтерским итогом документа.</x:v>
      </x:c>
      <x:c r="G3" s="67" t="str">
        <x:v>Пересчитать авансовый отчёт.</x:v>
      </x:c>
      <x:c r="H3" s="79" t="b">
        <x:v>0</x:v>
      </x:c>
      <x:c r="I3" s="107" t="str">
        <x:v>RESOLVED</x:v>
      </x:c>
      <x:c r="J3" s="67" t="str">
        <x:v>Итоги исправлены: 57 620 / 56 640 / 6 640 руб.</x:v>
      </x:c>
      <x:c r="K3" s="65"/>
      <x:c r="L3" s="65"/>
      <x:c r="M3" s="65"/>
      <x:c r="N3" s="65"/>
      <x:c r="O3" s="65"/>
    </x:row>
    <x:row r="4" ht="62" customHeight="1">
      <x:c r="A4" s="67" t="str">
        <x:v>HIGH</x:v>
      </x:c>
      <x:c r="B4" s="67" t="str">
        <x:v>QA-003</x:v>
      </x:c>
      <x:c r="C4" s="67" t="str">
        <x:v>expense_report; order_86_A/B; trip_order_241</x:v>
      </x:c>
      <x:c r="D4" s="67" t="str">
        <x:v>В авансовом отчёте указаны финансовый директор М.В. Орлов и генеральный директор Д.А. Мельников; в остальных документах — Лебедев М.О. и Орлов Д.А.</x:v>
      </x:c>
      <x:c r="E4" s="67" t="str">
        <x:v>Финансовый директор М.О. Лебедев; генеральный директор Д.А. Орлов.</x:v>
      </x:c>
      <x:c r="F4" s="67" t="str">
        <x:v>Создаёт ненамеренный конфликт идентичности должностных лиц.</x:v>
      </x:c>
      <x:c r="G4" s="67" t="str">
        <x:v>Унифицировать ФИО подписантов.</x:v>
      </x:c>
      <x:c r="H4" s="79" t="b">
        <x:v>0</x:v>
      </x:c>
      <x:c r="I4" s="107" t="str">
        <x:v>RESOLVED</x:v>
      </x:c>
      <x:c r="J4" s="67" t="str">
        <x:v>Подписанты унифицированы: М.О. Лебедев и Д.А. Орлов.</x:v>
      </x:c>
      <x:c r="K4" s="65"/>
      <x:c r="L4" s="65"/>
      <x:c r="M4" s="65"/>
      <x:c r="N4" s="65"/>
      <x:c r="O4" s="65"/>
    </x:row>
    <x:row r="5" ht="62" customHeight="1">
      <x:c r="A5" s="67" t="str">
        <x:v>MEDIUM</x:v>
      </x:c>
      <x:c r="B5" s="67" t="str">
        <x:v>QA-004</x:v>
      </x:c>
      <x:c r="C5" s="67" t="str">
        <x:v>trip_request; trip_order_241; expense_report</x:v>
      </x:c>
      <x:c r="D5" s="67" t="str">
        <x:v>Подразделение работника называется «проектный офис» в заявке и приказах, но «Дирекция проектного управления» в авансовом отчёте.</x:v>
      </x:c>
      <x:c r="E5" s="67" t="str">
        <x:v>Проектный офис.</x:v>
      </x:c>
      <x:c r="F5" s="67" t="str">
        <x:v>Может восприниматься как изменение подразделения без документа-основания.</x:v>
      </x:c>
      <x:c r="G5" s="67" t="str">
        <x:v>Унифицировать наименование подразделения.</x:v>
      </x:c>
      <x:c r="H5" s="79" t="b">
        <x:v>0</x:v>
      </x:c>
      <x:c r="I5" s="107" t="str">
        <x:v>RESOLVED</x:v>
      </x:c>
      <x:c r="J5" s="67" t="str">
        <x:v>Подразделение унифицировано: Проектный офис.</x:v>
      </x:c>
      <x:c r="K5" s="65"/>
      <x:c r="L5" s="65"/>
      <x:c r="M5" s="65"/>
      <x:c r="N5" s="65"/>
      <x:c r="O5" s="65"/>
    </x:row>
    <x:row r="6" ht="62" customHeight="1">
      <x:c r="A6" s="67" t="str">
        <x:v>MEDIUM</x:v>
      </x:c>
      <x:c r="B6" s="67" t="str">
        <x:v>QA-005</x:v>
      </x:c>
      <x:c r="C6" s="67" t="str">
        <x:v>meeting_protocol</x:v>
      </x:c>
      <x:c r="D6" s="67" t="str">
        <x:v>Протокол ссылается на приложение с перечнем замечаний, которого нет в комплекте.</x:v>
      </x:c>
      <x:c r="E6" s="67" t="str">
        <x:v>Убрать ссылку на приложение либо добавить приложение.</x:v>
      </x:c>
      <x:c r="F6" s="67" t="str">
        <x:v>Создаёт лишний ожидаемый документ и нецелевую недостаточность данных.</x:v>
      </x:c>
      <x:c r="G6" s="67" t="str">
        <x:v>Предпочтительно убрать ссылку.</x:v>
      </x:c>
      <x:c r="H6" s="79" t="b">
        <x:v>0</x:v>
      </x:c>
      <x:c r="I6" s="107" t="str">
        <x:v>RESOLVED</x:v>
      </x:c>
      <x:c r="J6" s="67" t="str">
        <x:v>Ссылка на отсутствующее приложение удалена.</x:v>
      </x:c>
      <x:c r="K6" s="65"/>
      <x:c r="L6" s="65"/>
      <x:c r="M6" s="65"/>
      <x:c r="N6" s="65"/>
      <x:c r="O6" s="65"/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conditionalFormatting sqref="A2:A6">
    <x:cfRule type="expression" dxfId="7" priority="1">
      <x:formula>A2="CRITICAL"</x:formula>
    </x:cfRule>
    <x:cfRule type="expression" dxfId="8" priority="2">
      <x:formula>A2="HIGH"</x:formula>
    </x:cfRule>
    <x:cfRule type="expression" dxfId="9" priority="3">
      <x:formula>A2="MEDIUM"</x:formula>
    </x:cfRule>
  </x:conditionalFormatting>
  <x:conditionalFormatting sqref="H2:H6">
    <x:cfRule type="expression" dxfId="10" priority="4">
      <x:formula>H2=TRUE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58" hidden="0" customWidth="1"/>
  </x:cols>
  <x:sheetData>
    <x:row r="1" ht="34" customHeight="1">
      <x:c r="A1" s="86" t="str">
        <x:v>Parameter</x:v>
      </x:c>
      <x:c r="B1" s="86" t="str">
        <x:v>Version A</x:v>
      </x:c>
      <x:c r="C1" s="86" t="str">
        <x:v>Version B</x:v>
      </x:c>
      <x:c r="D1" s="86" t="str">
        <x:v>Source / formula</x:v>
      </x:c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 ht="34" customHeight="1">
      <x:c r="A2" s="67" t="str">
        <x:v>Base hotel limit</x:v>
      </x:c>
      <x:c r="B2" s="100" t="n">
        <x:v>9000</x:v>
      </x:c>
      <x:c r="C2" s="100" t="n">
        <x:v>9000</x:v>
      </x:c>
      <x:c r="D2" s="67" t="str">
        <x:v>policy_01#appendix_1</x:v>
      </x:c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 ht="34" customHeight="1">
      <x:c r="A3" s="67" t="str">
        <x:v>Special hotel limit</x:v>
      </x:c>
      <x:c r="B3" s="100" t="n">
        <x:v>12000</x:v>
      </x:c>
      <x:c r="C3" s="100" t="n">
        <x:v>12000</x:v>
      </x:c>
      <x:c r="D3" s="67" t="str">
        <x:v>order_86_A/B#1</x:v>
      </x:c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</x:row>
    <x:row r="4" ht="34" customHeight="1">
      <x:c r="A4" s="67" t="str">
        <x:v>Actual nightly price</x:v>
      </x:c>
      <x:c r="B4" s="100" t="n">
        <x:v>11400</x:v>
      </x:c>
      <x:c r="C4" s="100" t="n">
        <x:v>11400</x:v>
      </x:c>
      <x:c r="D4" s="67" t="str">
        <x:v>hotel_invoice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34" customHeight="1">
      <x:c r="A5" s="67" t="str">
        <x:v>Special-limit nights</x:v>
      </x:c>
      <x:c r="B5" s="100" t="n">
        <x:v>4</x:v>
      </x:c>
      <x:c r="C5" s="100" t="n">
        <x:v>3</x:v>
      </x:c>
      <x:c r="D5" s="67" t="str">
        <x:v>checkout dates against order period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</x:row>
    <x:row r="6" ht="34" customHeight="1">
      <x:c r="A6" s="67" t="str">
        <x:v>Base-limit nights</x:v>
      </x:c>
      <x:c r="B6" s="100" t="n">
        <x:v>0</x:v>
      </x:c>
      <x:c r="C6" s="100" t="n">
        <x:v>1</x:v>
      </x:c>
      <x:c r="D6" s="67" t="str">
        <x:v>checkout dates against order period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</x:row>
    <x:row r="7" ht="34" customHeight="1">
      <x:c r="A7" s="67" t="str">
        <x:v>Maximum allowable hotel cost</x:v>
      </x:c>
      <x:c r="B7" s="100"/>
      <x:c r="C7" s="100"/>
      <x:c r="D7" s="67" t="str">
        <x:v>formula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</x:row>
    <x:row r="8" ht="34" customHeight="1">
      <x:c r="A8" s="101" t="str">
        <x:v>Hotel reimbursement</x:v>
      </x:c>
      <x:c r="B8" s="102" t="n">
        <x:f>B5*B3+B6*B2</x:f>
        <x:v>48000</x:v>
      </x:c>
      <x:c r="C8" s="102" t="n">
        <x:f>C5*C3+C6*C2</x:f>
        <x:v>45000</x:v>
      </x:c>
      <x:c r="D8" s="101" t="str">
        <x:v>formula</x:v>
      </x:c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</x:row>
    <x:row r="9" ht="34" customHeight="1">
      <x:c r="A9" s="101" t="str">
        <x:v>Per diem days</x:v>
      </x:c>
      <x:c r="B9" s="102" t="n">
        <x:f>MIN(B4,B3)*B5+MIN(B4,B2)*B6</x:f>
        <x:v>45600</x:v>
      </x:c>
      <x:c r="C9" s="102" t="n">
        <x:f>MIN(C4,C3)*C5+MIN(C4,C2)*C6</x:f>
        <x:v>43200</x:v>
      </x:c>
      <x:c r="D9" s="101" t="str">
        <x:v>15–19 September inclusive</x:v>
      </x:c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</x:row>
    <x:row r="10" ht="34" customHeight="1">
      <x:c r="A10" s="67" t="str">
        <x:v>Per diem rate</x:v>
      </x:c>
      <x:c r="B10" s="100" t="n">
        <x:v>1000</x:v>
      </x:c>
      <x:c r="C10" s="100" t="n">
        <x:v>1000</x:v>
      </x:c>
      <x:c r="D10" s="67" t="str">
        <x:v>policy_01#appendix_1</x:v>
      </x:c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</x:row>
    <x:row r="11" ht="34" customHeight="1">
      <x:c r="A11" s="67" t="str">
        <x:v>Correct per diem total</x:v>
      </x:c>
      <x:c r="B11" s="100"/>
      <x:c r="C11" s="100"/>
      <x:c r="D11" s="67" t="str">
        <x:v>formula</x:v>
      </x:c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</x:row>
    <x:row r="12" ht="34" customHeight="1">
      <x:c r="A12" s="101" t="str">
        <x:v>Accepted taxi 1</x:v>
      </x:c>
      <x:c r="B12" s="102" t="n">
        <x:f>B10*B11</x:f>
        <x:v>0</x:v>
      </x:c>
      <x:c r="C12" s="102" t="n">
        <x:f>C10*C11</x:f>
        <x:v>0</x:v>
      </x:c>
      <x:c r="D12" s="101" t="str">
        <x:v>transport_pack#taxi_1</x:v>
      </x:c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</x:row>
    <x:row r="13" ht="34" customHeight="1">
      <x:c r="A13" s="67" t="str">
        <x:v>Rejected taxi 2</x:v>
      </x:c>
      <x:c r="B13" s="100" t="n">
        <x:v>980</x:v>
      </x:c>
      <x:c r="C13" s="100" t="n">
        <x:v>980</x:v>
      </x:c>
      <x:c r="D13" s="67" t="str">
        <x:v>transport_pack#taxi_2</x:v>
      </x:c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</x:row>
    <x:row r="14" ht="34" customHeight="1">
      <x:c r="A14" s="67" t="str">
        <x:v>Ticket change</x:v>
      </x:c>
      <x:c r="B14" s="100" t="n">
        <x:v>4800</x:v>
      </x:c>
      <x:c r="C14" s="100" t="n">
        <x:v>4800</x:v>
      </x:c>
      <x:c r="D14" s="67" t="str">
        <x:v>transport_pack#return_flight</x:v>
      </x:c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</x:row>
    <x:row r="15" ht="34" customHeight="1">
      <x:c r="A15" s="67" t="str">
        <x:v>Correct accepted total</x:v>
      </x:c>
      <x:c r="B15" s="100"/>
      <x:c r="C15" s="100"/>
      <x:c r="D15" s="67" t="str">
        <x:v>hotel + ticket + taxi1 + per diem</x:v>
      </x:c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</x:row>
    <x:row r="16" ht="34" customHeight="1">
      <x:c r="A16" s="101" t="str">
        <x:v>Advance paid</x:v>
      </x:c>
      <x:c r="B16" s="102" t="n">
        <x:f>B9+B15+B13+B12</x:f>
        <x:v>46580</x:v>
      </x:c>
      <x:c r="C16" s="102" t="n">
        <x:f>C9+C15+C13+C12</x:f>
        <x:v>44180</x:v>
      </x:c>
      <x:c r="D16" s="101" t="str">
        <x:v>expense_report</x:v>
      </x:c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</x:row>
    <x:row r="17" ht="34" customHeight="1">
      <x:c r="A17" s="67" t="str">
        <x:v>Correct employee top-up</x:v>
      </x:c>
      <x:c r="B17" s="100"/>
      <x:c r="C17" s="100"/>
      <x:c r="D17" s="67" t="str">
        <x:v>accepted total - advance</x:v>
      </x:c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</x:row>
    <x:row r="18">
      <x:c r="A18" s="103"/>
      <x:c r="B18" s="103" t="n">
        <x:f>B16-B17</x:f>
        <x:v>46580</x:v>
      </x:c>
      <x:c r="C18" s="103" t="n">
        <x:f>C16-C17</x:f>
        <x:v>44180</x:v>
      </x:c>
      <x:c r="D18" s="103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</x:row>
  </x:sheetData>
  <x:pageMargins left="0.7" right="0.7" top="0.75" bottom="0.75" header="0.3" footer="0.3"/>
</x:worksheet>
</file>